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MMAIRE" sheetId="1" r:id="rId4"/>
    <sheet state="visible" name="Authentification" sheetId="2" r:id="rId5"/>
    <sheet state="visible" name="Initialisation" sheetId="3" r:id="rId6"/>
    <sheet state="visible" name="Tableau de bord" sheetId="4" r:id="rId7"/>
    <sheet state="visible" name="Catalogue" sheetId="5" r:id="rId8"/>
    <sheet state="visible" name="Fiche Équipement" sheetId="6" r:id="rId9"/>
    <sheet state="visible" name="Disponibilités" sheetId="7" r:id="rId10"/>
    <sheet state="visible" name="Réservations" sheetId="8" r:id="rId11"/>
    <sheet state="visible" name="Profil" sheetId="9" r:id="rId12"/>
    <sheet state="visible" name="Admin – Users" sheetId="10" r:id="rId13"/>
    <sheet state="visible" name="Admin – Équipements" sheetId="11" r:id="rId14"/>
    <sheet state="visible" name="Admin – Exemplaires" sheetId="12" r:id="rId15"/>
    <sheet state="visible" name="Admin – Labels" sheetId="13" r:id="rId16"/>
    <sheet state="visible" name="Navigation" sheetId="14" r:id="rId17"/>
    <sheet state="visible" name="Erreurs" sheetId="15" r:id="rId18"/>
  </sheets>
  <definedNames/>
  <calcPr/>
  <extLst>
    <ext uri="GoogleSheetsCustomDataVersion2">
      <go:sheetsCustomData xmlns:go="http://customooxmlschemas.google.com/" r:id="rId19" roundtripDataChecksum="uSOdiIINfnkcwOHhUDrCN7xk9c0r7h28ngDTAOe2f5I="/>
    </ext>
  </extLst>
</workbook>
</file>

<file path=xl/sharedStrings.xml><?xml version="1.0" encoding="utf-8"?>
<sst xmlns="http://schemas.openxmlformats.org/spreadsheetml/2006/main" count="1533" uniqueCount="762">
  <si>
    <t>Recette Fonctionnelle – Smart Reservations</t>
  </si>
  <si>
    <t>Module</t>
  </si>
  <si>
    <t>Nb de tests</t>
  </si>
  <si>
    <t>Onglet</t>
  </si>
  <si>
    <t>Authentification</t>
  </si>
  <si>
    <t>→ Onglet 'Authentification'</t>
  </si>
  <si>
    <t>Initialisation</t>
  </si>
  <si>
    <t>→ Onglet 'Initialisation'</t>
  </si>
  <si>
    <t>Tableau de bord</t>
  </si>
  <si>
    <t>→ Onglet 'Tableau de bord'</t>
  </si>
  <si>
    <t>Catalogue</t>
  </si>
  <si>
    <t>→ Onglet 'Catalogue'</t>
  </si>
  <si>
    <t>Fiche Équipement</t>
  </si>
  <si>
    <t>→ Onglet 'Fiche Équipement'</t>
  </si>
  <si>
    <t>Disponibilités</t>
  </si>
  <si>
    <t>→ Onglet 'Disponibilités'</t>
  </si>
  <si>
    <t>Réservations</t>
  </si>
  <si>
    <t>→ Onglet 'Réservations'</t>
  </si>
  <si>
    <t>Profil</t>
  </si>
  <si>
    <t>→ Onglet 'Profil'</t>
  </si>
  <si>
    <t>Admin – Users</t>
  </si>
  <si>
    <t>→ Onglet 'Admin – Users'</t>
  </si>
  <si>
    <t>Admin – Équipements</t>
  </si>
  <si>
    <t>→ Onglet 'Admin – Équipements'</t>
  </si>
  <si>
    <t>Admin – Exemplaires</t>
  </si>
  <si>
    <t>→ Onglet 'Admin – Exemplaires'</t>
  </si>
  <si>
    <t>Admin – Labels</t>
  </si>
  <si>
    <t>→ Onglet 'Admin – Labels'</t>
  </si>
  <si>
    <t>Navigation</t>
  </si>
  <si>
    <t>→ Onglet 'Navigation'</t>
  </si>
  <si>
    <t>Erreurs</t>
  </si>
  <si>
    <t>→ Onglet 'Erreurs'</t>
  </si>
  <si>
    <t>TOTAL</t>
  </si>
  <si>
    <t>Recette Fonctionnelle – Authentification</t>
  </si>
  <si>
    <t>ID</t>
  </si>
  <si>
    <t>Fonctionnalité</t>
  </si>
  <si>
    <t>Scénario</t>
  </si>
  <si>
    <t>Description</t>
  </si>
  <si>
    <t>Préconditions</t>
  </si>
  <si>
    <t>Étapes détaillées</t>
  </si>
  <si>
    <t>Données de test</t>
  </si>
  <si>
    <t>Résultat attendu</t>
  </si>
  <si>
    <t>Résultat obtenu</t>
  </si>
  <si>
    <t>Statut</t>
  </si>
  <si>
    <t>Criticité</t>
  </si>
  <si>
    <t>Rôle requis</t>
  </si>
  <si>
    <t>Commentaires</t>
  </si>
  <si>
    <t>AUTH-001</t>
  </si>
  <si>
    <t>Connexion</t>
  </si>
  <si>
    <t>Connexion valide – compte USER</t>
  </si>
  <si>
    <t>Un utilisateur actif avec le rôle USER peut se connecter.</t>
  </si>
  <si>
    <t>L'application est démarrée. L'utilisateur possède un compte actif.</t>
  </si>
  <si>
    <t>1. Accéder à /login
2. Saisir un email valide
3. Saisir le mot de passe correct
4. Cliquer sur « Se connecter »</t>
  </si>
  <si>
    <t>email: user@test.com
mot de passe: password123</t>
  </si>
  <si>
    <t>Redirection vers /home. Le prénom de l'utilisateur apparaît dans le tableau de bord.</t>
  </si>
  <si>
    <t>À tester</t>
  </si>
  <si>
    <t>Haute</t>
  </si>
  <si>
    <t>PUBLIC</t>
  </si>
  <si>
    <t>AUTH-002</t>
  </si>
  <si>
    <t>Connexion valide – compte ADMIN</t>
  </si>
  <si>
    <t>Un administrateur peut se connecter et accède aux menus admin.</t>
  </si>
  <si>
    <t>L'application est démarrée. Un compte ADMIN existe.</t>
  </si>
  <si>
    <t>1. Accéder à /login
2. Saisir l'email admin
3. Saisir le mot de passe
4. Cliquer sur « Se connecter »</t>
  </si>
  <si>
    <t>email: admin@test.com
mot de passe: admin</t>
  </si>
  <si>
    <t>Redirection vers /home. Le panneau « Centre de contrôle » admin est visible.</t>
  </si>
  <si>
    <t>Identifiants de démo par défaut dans AuthForm.tsx</t>
  </si>
  <si>
    <t>AUTH-003</t>
  </si>
  <si>
    <t>Connexion – email incorrect</t>
  </si>
  <si>
    <t>Un email inexistant doit déclencher un message d'erreur.</t>
  </si>
  <si>
    <t>Application démarrée.</t>
  </si>
  <si>
    <t>1. Accéder à /login
2. Saisir un email inexistant
3. Saisir un mot de passe
4. Cliquer sur « Se connecter »</t>
  </si>
  <si>
    <t>email: inconnu@test.com
mot de passe: quelconque</t>
  </si>
  <si>
    <t>Message d'erreur : « Identifiants incorrects ». Pas de redirection.</t>
  </si>
  <si>
    <t>AUTH-004</t>
  </si>
  <si>
    <t>Connexion – mot de passe incorrect</t>
  </si>
  <si>
    <t>Un mot de passe erroné doit déclencher un message d'erreur.</t>
  </si>
  <si>
    <t>Application démarrée. Compte actif existant.</t>
  </si>
  <si>
    <t>1. Accéder à /login
2. Saisir un email valide
3. Saisir un mauvais mot de passe
4. Cliquer sur « Se connecter »</t>
  </si>
  <si>
    <t>email: user@test.com
mot de passe: mauvais</t>
  </si>
  <si>
    <t>Message d'erreur : « Identifiants incorrects ».</t>
  </si>
  <si>
    <t>AUTH-005</t>
  </si>
  <si>
    <t>Connexion – compte expiré</t>
  </si>
  <si>
    <t>Un utilisateur avec un compte expiré reçoit un message spécifique.</t>
  </si>
  <si>
    <t>Un compte avec statut EXPIRE existe.</t>
  </si>
  <si>
    <t>1. Accéder à /login
2. Saisir l'email du compte expiré
3. Saisir le mot de passe
4. Cliquer sur « Se connecter »</t>
  </si>
  <si>
    <t>email: expire@test.com
mot de passe: correct</t>
  </si>
  <si>
    <t>Message : « Votre accès a expiré. Contactez un administrateur. »</t>
  </si>
  <si>
    <t>AUTH-006</t>
  </si>
  <si>
    <t>Connexion – compte désactivé</t>
  </si>
  <si>
    <t>Un utilisateur désactivé reçoit un message spécifique.</t>
  </si>
  <si>
    <t>Un compte avec statut DESACTIVE existe.</t>
  </si>
  <si>
    <t>1. Accéder à /login
2. Saisir l'email du compte désactivé
3. Saisir le mot de passe
4. Cliquer sur « Se connecter »</t>
  </si>
  <si>
    <t>email: desactive@test.com
mot de passe: correct</t>
  </si>
  <si>
    <t>Message : « Votre compte a été désactivé. Contactez un administrateur. »</t>
  </si>
  <si>
    <t>Échoué</t>
  </si>
  <si>
    <t>AUTH-007</t>
  </si>
  <si>
    <t>Champs vides – soumission bloquée</t>
  </si>
  <si>
    <t>Le formulaire ne peut pas être soumis avec des champs vides.</t>
  </si>
  <si>
    <t>1. Accéder à /login
2. Laisser les champs vides
3. Cliquer sur « Se connecter »</t>
  </si>
  <si>
    <t>email: (vide)
mot de passe: (vide)</t>
  </si>
  <si>
    <t>Les messages de validation s'affichent. La soumission est bloquée.</t>
  </si>
  <si>
    <t>Moyenne</t>
  </si>
  <si>
    <t>AUTH-008</t>
  </si>
  <si>
    <t>Accès protégé</t>
  </si>
  <si>
    <t>Redirection si non connecté</t>
  </si>
  <si>
    <t>Un utilisateur non connecté accédant à une route protégée est redirigé vers /login.</t>
  </si>
  <si>
    <t>Aucun token en localStorage.</t>
  </si>
  <si>
    <t>1. Accéder directement à /home sans être connecté</t>
  </si>
  <si>
    <t>URL directe: /home</t>
  </si>
  <si>
    <t>Redirection automatique vers /login.</t>
  </si>
  <si>
    <t>AUTH-009</t>
  </si>
  <si>
    <t>Déconnexion</t>
  </si>
  <si>
    <t>Déconnexion standard</t>
  </si>
  <si>
    <t>Un utilisateur connecté peut se déconnecter.</t>
  </si>
  <si>
    <t>Utilisateur connecté.</t>
  </si>
  <si>
    <t>1. Ouvrir le menu hamburger
2. Cliquer sur « Déconnexion »</t>
  </si>
  <si>
    <t>N/A</t>
  </si>
  <si>
    <t>Token supprimé de localStorage. Redirection vers /login.</t>
  </si>
  <si>
    <t>Validé</t>
  </si>
  <si>
    <t>USER</t>
  </si>
  <si>
    <t>AUTH-010</t>
  </si>
  <si>
    <t>Session</t>
  </si>
  <si>
    <t>Session expirée – déconnexion automatique</t>
  </si>
  <si>
    <t>Quand le token expire (401), l'utilisateur est déconnecté et un toast s'affiche.</t>
  </si>
  <si>
    <t>Utilisateur connecté. Token expiré côté serveur.</t>
  </si>
  <si>
    <t>1. Connecté, effectuer une action déclenchant un appel API
2. Serveur retourne 401</t>
  </si>
  <si>
    <t>Token invalide/expiré</t>
  </si>
  <si>
    <t>Toast : « Vous avez été déconnecté. » Redirection vers /login.</t>
  </si>
  <si>
    <t>AUTH-011</t>
  </si>
  <si>
    <t>Autorisation</t>
  </si>
  <si>
    <t>Accès route admin en tant que USER → 404</t>
  </si>
  <si>
    <t>Un USER ne peut pas accéder aux routes /admin/*.</t>
  </si>
  <si>
    <t>Connecté en tant que USER.</t>
  </si>
  <si>
    <t>1. Saisir directement /admin/users dans l'URL</t>
  </si>
  <si>
    <t>URL: /admin/users</t>
  </si>
  <si>
    <t>Redirection vers /404.</t>
  </si>
  <si>
    <t>Recette Fonctionnelle – Initialisation</t>
  </si>
  <si>
    <t>INIT-001</t>
  </si>
  <si>
    <t>Initialisation complète valide</t>
  </si>
  <si>
    <t>Un nouvel utilisateur (INVITE) peut initialiser son compte avec tous les champs valides.</t>
  </si>
  <si>
    <t>Token d'invitation valide. Compte en statut INVITE.</t>
  </si>
  <si>
    <t>1. Accéder à /initialisation
2. Remplir nom, prénom
3. Remplir formation (optionnel)
4. Saisir un mot de passe ≥ 8 caractères
5. Confirmer le mot de passe
6. Cliquer sur « Valider »</t>
  </si>
  <si>
    <t>nom: Martin
prénom: Sophie
formation: ENSC
mot de passe: MonMotDePasse1
confirmation: MonMotDePasse1</t>
  </si>
  <si>
    <t>Compte activé. Redirection vers /home.</t>
  </si>
  <si>
    <t>INIT-002</t>
  </si>
  <si>
    <t>Mot de passe trop court</t>
  </si>
  <si>
    <t>Le mot de passe doit contenir au moins 8 caractères.</t>
  </si>
  <si>
    <t>Token d'invitation valide.</t>
  </si>
  <si>
    <t>1. Accéder à /initialisation
2. Remplir les champs obligatoires
3. Saisir un mot de passe &lt; 8 caractères
4. Cliquer sur « Valider »</t>
  </si>
  <si>
    <t>mot de passe: court
confirmation: court</t>
  </si>
  <si>
    <t>Message d'erreur de validation sous le champ mot de passe.</t>
  </si>
  <si>
    <t>INIT-003</t>
  </si>
  <si>
    <t>Mots de passe non identiques</t>
  </si>
  <si>
    <t>La confirmation de mot de passe doit correspondre.</t>
  </si>
  <si>
    <t>1. Accéder à /initialisation
2. Saisir un mot de passe valide
3. Saisir une confirmation différente
4. Cliquer sur « Valider »</t>
  </si>
  <si>
    <t>mot de passe: MonMotDePasse1
confirmation: AutreMot123</t>
  </si>
  <si>
    <t>Message d'erreur : les mots de passe ne correspondent pas.</t>
  </si>
  <si>
    <t>INIT-004</t>
  </si>
  <si>
    <t>Champs obligatoires manquants</t>
  </si>
  <si>
    <t>Nom et prénom sont requis.</t>
  </si>
  <si>
    <t>1. Accéder à /initialisation
2. Laisser nom/prénom vides
3. Cliquer sur « Valider »</t>
  </si>
  <si>
    <t>nom: (vide)
prénom: (vide)</t>
  </si>
  <si>
    <t>Messages de validation pour les champs manquants.</t>
  </si>
  <si>
    <t>INIT-005</t>
  </si>
  <si>
    <t>Utilisateur actif accède à /initialisation</t>
  </si>
  <si>
    <t>Un utilisateur déjà actif ne peut pas ré-initialiser son compte.</t>
  </si>
  <si>
    <t>Connecté en tant que USER actif.</t>
  </si>
  <si>
    <t>1. Accéder à /initialisation</t>
  </si>
  <si>
    <t>Redirection vers /home.</t>
  </si>
  <si>
    <t>Recette Fonctionnelle – Tableau de bord</t>
  </si>
  <si>
    <t>HOME-001</t>
  </si>
  <si>
    <t>Affichage du tableau de bord USER</t>
  </si>
  <si>
    <t>La page d'accueil affiche le message de bienvenue et les sections principales.</t>
  </si>
  <si>
    <t>1. Se connecter
2. Accéder à /home</t>
  </si>
  <si>
    <t>Affichage : message de bienvenue avec prénom, preview catalogue (6 équipements), section réservations, lien profil.</t>
  </si>
  <si>
    <t>HOME-002</t>
  </si>
  <si>
    <t>Panneau admin visible pour ADMIN</t>
  </si>
  <si>
    <t>Le centre de contrôle admin s'affiche sur la home pour les admins.</t>
  </si>
  <si>
    <t>Connecté en tant que ADMIN.</t>
  </si>
  <si>
    <t>1. Se connecter en admin
2. Accéder à /home</t>
  </si>
  <si>
    <t>Section « Centre de contrôle » visible avec boutons : Utilisateurs, Équipements, Exemplaires, Réservations, Labels.</t>
  </si>
  <si>
    <t>ADMIN</t>
  </si>
  <si>
    <t>HOME-003</t>
  </si>
  <si>
    <t>Panneau admin invisible pour USER</t>
  </si>
  <si>
    <t>Le centre de contrôle ne doit pas apparaître pour un USER.</t>
  </si>
  <si>
    <t>1. Se connecter en USER
2. Accéder à /home</t>
  </si>
  <si>
    <t>Section « Centre de contrôle » absente de la page.</t>
  </si>
  <si>
    <t>HOME-004</t>
  </si>
  <si>
    <t>Clic sur équipement preview → page détail</t>
  </si>
  <si>
    <t>Cliquer sur un équipement dans le preview catalogue ouvre sa fiche.</t>
  </si>
  <si>
    <t>Connecté. Des équipements existent.</t>
  </si>
  <si>
    <t>1. Accéder à /home
2. Cliquer sur un équipement dans le preview</t>
  </si>
  <si>
    <t>Navigation vers /equipements/:id avec la fiche de l'équipement.</t>
  </si>
  <si>
    <t>HOME-005</t>
  </si>
  <si>
    <t>Lien vers /equipements</t>
  </si>
  <si>
    <t>Le lien vers le catalogue complet est fonctionnel.</t>
  </si>
  <si>
    <t>Connecté.</t>
  </si>
  <si>
    <t>1. Accéder à /home
2. Cliquer sur le lien ou bouton « Catalogue »</t>
  </si>
  <si>
    <t>Navigation vers /equipements.</t>
  </si>
  <si>
    <t>HOME-006</t>
  </si>
  <si>
    <t>Lien vers /reservations/mes-reservations</t>
  </si>
  <si>
    <t>Le lien vers Mes Réservations est fonctionnel depuis la home.</t>
  </si>
  <si>
    <t>1. Accéder à /home
2. Cliquer sur le lien « Mes réservations »</t>
  </si>
  <si>
    <t>Navigation vers /reservations/mes-reservations.</t>
  </si>
  <si>
    <t>Faible</t>
  </si>
  <si>
    <t>Recette Fonctionnelle – Catalogue</t>
  </si>
  <si>
    <t>CAT-001</t>
  </si>
  <si>
    <t>Affichage liste équipements</t>
  </si>
  <si>
    <t>La page /equipements affiche tous les équipements disponibles.</t>
  </si>
  <si>
    <t>1. Naviguer vers /equipements</t>
  </si>
  <si>
    <t>Liste de cartes d'équipements avec nom, image, description.</t>
  </si>
  <si>
    <t>CAT-002</t>
  </si>
  <si>
    <t>Clic sur équipement → page détail</t>
  </si>
  <si>
    <t>Cliquer sur une carte équipement navigue vers sa page détail.</t>
  </si>
  <si>
    <t>1. Accéder à /equipements
2. Cliquer sur une carte équipement</t>
  </si>
  <si>
    <t>Navigation vers /equipements/:id.</t>
  </si>
  <si>
    <t>CAT-003</t>
  </si>
  <si>
    <t>Bouton « Ajouter » visible pour ADMIN</t>
  </si>
  <si>
    <t>Le bouton d'ajout d'équipement est visible uniquement pour les admins.</t>
  </si>
  <si>
    <t>1. Accéder à /equipements</t>
  </si>
  <si>
    <t>Bouton « Ajouter un équipement » visible.</t>
  </si>
  <si>
    <t>CAT-004</t>
  </si>
  <si>
    <t>Bouton « Ajouter » invisible pour USER</t>
  </si>
  <si>
    <t>Les utilisateurs normaux ne voient pas le bouton d'ajout.</t>
  </si>
  <si>
    <t>Bouton « Ajouter un équipement » absent.</t>
  </si>
  <si>
    <t>CAT-005</t>
  </si>
  <si>
    <t>Catalogue vide</t>
  </si>
  <si>
    <t>Si aucun équipement n'existe, un message adapté s'affiche.</t>
  </si>
  <si>
    <t>Connecté. Aucun équipement en base.</t>
  </si>
  <si>
    <t>Message ou placeholder indiquant qu'il n'y a pas d'équipement.</t>
  </si>
  <si>
    <t>Recette Fonctionnelle – Fiche Équipement</t>
  </si>
  <si>
    <t>EQP-001</t>
  </si>
  <si>
    <t>Fiche équipement</t>
  </si>
  <si>
    <t>Affichage complet fiche équipement</t>
  </si>
  <si>
    <t>La page détail affiche nom, description, image, labels, exemplaires, relations.</t>
  </si>
  <si>
    <t>Connecté. Équipement avec labels, exemplaires et relations existant.</t>
  </si>
  <si>
    <t>1. Naviguer vers /equipements/:id</t>
  </si>
  <si>
    <t>ID équipement valide</t>
  </si>
  <si>
    <t>Affichage : nom, image, description, labels associés, liste exemplaires, relations.</t>
  </si>
  <si>
    <t>EQP-002</t>
  </si>
  <si>
    <t>Bouton « Voir les disponibilités »</t>
  </si>
  <si>
    <t>Le bouton redirige vers /disponibilites avec l'équipement pré-sélectionné.</t>
  </si>
  <si>
    <t>Connecté. Équipement existant.</t>
  </si>
  <si>
    <t>1. Accéder à /equipements/:id
2. Cliquer sur « Voir les disponibilités »</t>
  </si>
  <si>
    <t>Navigation vers /disponibilites?equipementId={id}.</t>
  </si>
  <si>
    <t>EQP-003</t>
  </si>
  <si>
    <t>Bouton « Réserver cet équipement »</t>
  </si>
  <si>
    <t>Le bouton ouvre le formulaire de réservation avec l'équipement pré-rempli.</t>
  </si>
  <si>
    <t>1. Accéder à /equipements/:id
2. Cliquer sur « Réserver cet équipement »</t>
  </si>
  <si>
    <t>Navigation vers /reservations/creer avec l'équipement pré-sélectionné dans le formulaire.</t>
  </si>
  <si>
    <t>EQP-004</t>
  </si>
  <si>
    <t>Boutons admin (Modifier/Supprimer) visibles pour ADMIN</t>
  </si>
  <si>
    <t>L'admin voit les boutons de gestion sur la fiche équipement.</t>
  </si>
  <si>
    <t>Connecté en ADMIN.</t>
  </si>
  <si>
    <t>1. Accéder à /equipements/:id</t>
  </si>
  <si>
    <t>Boutons « Modifier » et « Supprimer » visibles.</t>
  </si>
  <si>
    <t>EQP-005</t>
  </si>
  <si>
    <t>Boutons admin invisibles pour USER</t>
  </si>
  <si>
    <t>Un USER ne voit pas les boutons de modification.</t>
  </si>
  <si>
    <t>Connecté en USER.</t>
  </si>
  <si>
    <t>Boutons « Modifier » et « Supprimer » absents.</t>
  </si>
  <si>
    <t>EQP-006</t>
  </si>
  <si>
    <t>Bouton Modifier → formulaire d'édition</t>
  </si>
  <si>
    <t>Le bouton Modifier redirige vers le formulaire pré-rempli.</t>
  </si>
  <si>
    <t>1. Accéder à /equipements/:id
2. Cliquer sur « Modifier »</t>
  </si>
  <si>
    <t>Navigation vers /admin/equipements/:id/modifier avec les champs pré-remplis.</t>
  </si>
  <si>
    <t>EQP-007</t>
  </si>
  <si>
    <t>Suppression équipement avec confirmation</t>
  </si>
  <si>
    <t>La suppression demande une confirmation avant d'agir.</t>
  </si>
  <si>
    <t>Connecté en ADMIN. Équipement existant.</t>
  </si>
  <si>
    <t>1. Accéder à /equipements/:id
2. Cliquer sur « Supprimer »
3. Confirmer la suppression</t>
  </si>
  <si>
    <t>Confirmation demandée. Après confirmation : équipement supprimé, redirection vers /equipements.</t>
  </si>
  <si>
    <t>EQP-008</t>
  </si>
  <si>
    <t>Affichage relations d'équipement</t>
  </si>
  <si>
    <t>Les relations REQUIS, COMPATIBLE, RECOMMANDE sont affichées.</t>
  </si>
  <si>
    <t>Connecté. Équipement avec relations existantes.</t>
  </si>
  <si>
    <t>Section relations visible avec type de relation et équipements liés.</t>
  </si>
  <si>
    <t>EQP-009</t>
  </si>
  <si>
    <t>Équipement inexistant → gestion d'erreur</t>
  </si>
  <si>
    <t>Accéder à un équipement dont l'ID n'existe pas affiche une erreur.</t>
  </si>
  <si>
    <t>1. Naviguer vers /equipements/99999</t>
  </si>
  <si>
    <t>ID: 99999 (inexistant)</t>
  </si>
  <si>
    <t>Affichage d'une ErrorCard ou message d'erreur.</t>
  </si>
  <si>
    <t>EQP-010</t>
  </si>
  <si>
    <t>Clic sur un label → page label</t>
  </si>
  <si>
    <t>Cliquer sur un label depuis la fiche équipement navigue vers sa page.</t>
  </si>
  <si>
    <t>Connecté. Équipement avec labels.</t>
  </si>
  <si>
    <t>1. Accéder à /equipements/:id
2. Cliquer sur un label</t>
  </si>
  <si>
    <t>Navigation vers /labels/:id.</t>
  </si>
  <si>
    <t>Recette Fonctionnelle – Disponibilités</t>
  </si>
  <si>
    <t>DISPO-001</t>
  </si>
  <si>
    <t>Affichage page disponibilités</t>
  </si>
  <si>
    <t>La page affiche un calendrier mensuel et un sélecteur d'équipements.</t>
  </si>
  <si>
    <t>1. Naviguer vers /disponibilites</t>
  </si>
  <si>
    <t>Calendrier mensuel affiché. Combobox de sélection d'équipements présent.</t>
  </si>
  <si>
    <t>DISPO-002</t>
  </si>
  <si>
    <t>Sélection d'un équipement</t>
  </si>
  <si>
    <t>Sélectionner un équipement charge ses disponibilités sur le calendrier.</t>
  </si>
  <si>
    <t>Connecté. Équipements avec exemplaires existants.</t>
  </si>
  <si>
    <t>1. Accéder à /disponibilites
2. Sélectionner un équipement dans le combobox</t>
  </si>
  <si>
    <t>Équipement avec des réservations existantes</t>
  </si>
  <si>
    <t>Le calendrier se met à jour avec les états DISPONIBLE/PARTIEL/INDISPONIBLE.</t>
  </si>
  <si>
    <t>DISPO-003</t>
  </si>
  <si>
    <t>Navigation mois suivant/précédent</t>
  </si>
  <si>
    <t>Les flèches de navigation changent le mois affiché.</t>
  </si>
  <si>
    <t>1. Accéder à /disponibilites
2. Cliquer sur la flèche mois suivant
3. Cliquer sur la flèche mois précédent</t>
  </si>
  <si>
    <t>Le mois change correctement en avant et en arrière.</t>
  </si>
  <si>
    <t>DISPO-004</t>
  </si>
  <si>
    <t>Clic sur un jour → timeline</t>
  </si>
  <si>
    <t>Cliquer sur une journée affiche la timeline des emprunts de la journée.</t>
  </si>
  <si>
    <t>Connecté. Équipement sélectionné avec des réservations.</t>
  </si>
  <si>
    <t>1. Accéder à /disponibilites
2. Sélectionner un équipement
3. Cliquer sur un jour</t>
  </si>
  <si>
    <t>Timeline journalière affichée avec les créneaux occupés.</t>
  </si>
  <si>
    <t>DISPO-005</t>
  </si>
  <si>
    <t>Bouton « Réserver ces équipements »</t>
  </si>
  <si>
    <t>Le bouton crée une réservation avec les équipements et le jour sélectionnés.</t>
  </si>
  <si>
    <t>Connecté. Équipement(s) sélectionné(s). Jour sélectionné.</t>
  </si>
  <si>
    <t>1. Sélectionner un équipement
2. Cliquer sur un jour
3. Cliquer sur « Réserver ces équipements »</t>
  </si>
  <si>
    <t>Navigation vers /reservations/creer avec équipementIds et selectedDay pré-remplis.</t>
  </si>
  <si>
    <t>DISPO-006</t>
  </si>
  <si>
    <t>Sélection multiple d'équipements</t>
  </si>
  <si>
    <t>Plusieurs équipements peuvent être sélectionnés simultanément.</t>
  </si>
  <si>
    <t>Connecté. Plusieurs équipements existent.</t>
  </si>
  <si>
    <t>1. Accéder à /disponibilites
2. Sélectionner 2+ équipements dans le combobox</t>
  </si>
  <si>
    <t>Le calendrier affiche la disponibilité combinée des équipements sélectionnés.</t>
  </si>
  <si>
    <t>DISPO-007</t>
  </si>
  <si>
    <t>Accès depuis fiche équipement</t>
  </si>
  <si>
    <t>Le lien « Voir les disponibilités » depuis une fiche équipement pré-sélectionne l'équipement.</t>
  </si>
  <si>
    <t>Connecté. Fiche équipement ouverte.</t>
  </si>
  <si>
    <t>Page /disponibilites ouverte avec l'équipement déjà sélectionné dans le combobox.</t>
  </si>
  <si>
    <t>Recette Fonctionnelle – Réservations</t>
  </si>
  <si>
    <t>RES-001</t>
  </si>
  <si>
    <t>Réservation – Création</t>
  </si>
  <si>
    <t>Affichage formulaire de création</t>
  </si>
  <si>
    <t>Le formulaire de création contient tous les champs nécessaires.</t>
  </si>
  <si>
    <t>1. Naviguer vers /reservations/creer</t>
  </si>
  <si>
    <t>Formulaire avec : titre, description, section équipements, section sessions.</t>
  </si>
  <si>
    <t>RES-002</t>
  </si>
  <si>
    <t>Création réservation valide</t>
  </si>
  <si>
    <t>Créer une réservation avec tous les champs valides et la soumettre avec succès.</t>
  </si>
  <si>
    <t>Connecté. Au moins un équipement avec exemplaires disponibles.</t>
  </si>
  <si>
    <t>1. Naviguer vers /reservations/creer
2. Saisir un titre
3. Saisir une description
4. Sélectionner un équipement (quantité=1)
5. Ajouter une session (début et fin)
6. Cliquer sur « Créer »</t>
  </si>
  <si>
    <t>titre: Test Réservation
description: Réservation de test
équipement: (sélectionner un équipement)
début: demain 09:00
fin: demain 11:00</t>
  </si>
  <si>
    <t>Réservation créée avec statut EN_ATTENTE. Redirection vers /reservations/mes-reservations.</t>
  </si>
  <si>
    <t>RES-003</t>
  </si>
  <si>
    <t>Titre manquant → erreur de validation</t>
  </si>
  <si>
    <t>Le titre est obligatoire.</t>
  </si>
  <si>
    <t>1. Accéder à /reservations/creer
2. Laisser le titre vide
3. Remplir les autres champs
4. Soumettre</t>
  </si>
  <si>
    <t>titre: (vide)</t>
  </si>
  <si>
    <t>Message d'erreur sur le champ titre. Soumission bloquée.</t>
  </si>
  <si>
    <t>RES-004</t>
  </si>
  <si>
    <t>Description manquante → erreur de validation</t>
  </si>
  <si>
    <t>La description est obligatoire.</t>
  </si>
  <si>
    <t>1. Accéder à /reservations/creer
2. Laisser la description vide
3. Remplir les autres champs
4. Soumettre</t>
  </si>
  <si>
    <t>description: (vide)</t>
  </si>
  <si>
    <t>Message d'erreur sur le champ description.</t>
  </si>
  <si>
    <t>RES-005</t>
  </si>
  <si>
    <t>Aucun équipement sélectionné → erreur</t>
  </si>
  <si>
    <t>Au moins un équipement doit être sélectionné.</t>
  </si>
  <si>
    <t>1. Accéder à /reservations/creer
2. Ne pas sélectionner d'équipement
3. Ajouter une session
4. Soumettre</t>
  </si>
  <si>
    <t>équipements: (aucun)</t>
  </si>
  <si>
    <t>Message d'erreur indiquant qu'un équipement est requis.</t>
  </si>
  <si>
    <t>RES-006</t>
  </si>
  <si>
    <t>Sélection d'équipement invalide (ID=0)</t>
  </si>
  <si>
    <t>Une ligne équipement ajoutée sans sélection doit être validée.</t>
  </si>
  <si>
    <t>1. Accéder à /reservations/creer
2. Ajouter une ligne équipement sans sélectionner
3. Soumettre</t>
  </si>
  <si>
    <t>équipementId: 0 (défaut)</t>
  </si>
  <si>
    <t>Erreur de validation : équipement non sélectionné.</t>
  </si>
  <si>
    <t>RES-007</t>
  </si>
  <si>
    <t>Ajout de plusieurs équipements</t>
  </si>
  <si>
    <t>Le formulaire permet d'ajouter plusieurs lignes d'équipements.</t>
  </si>
  <si>
    <t>1. Accéder à /reservations/creer
2. Ajouter 3 équipements différents
3. Définir les quantités</t>
  </si>
  <si>
    <t>Équipements A, B, C
quantités: 1, 2, 1</t>
  </si>
  <si>
    <t>3 lignes équipements visibles avec leurs quantités respectives.</t>
  </si>
  <si>
    <t>RES-008</t>
  </si>
  <si>
    <t>Ajout de plusieurs sessions</t>
  </si>
  <si>
    <t>Le formulaire permet d'ajouter plusieurs sessions temporelles.</t>
  </si>
  <si>
    <t>1. Accéder à /reservations/creer
2. Ajouter 2 sessions
3. Définir des créneaux différents</t>
  </si>
  <si>
    <t>Session 1: 10h-12h
Session 2: 14h-16h</t>
  </si>
  <si>
    <t>2 sections sessions visibles avec leurs créneaux respectifs.</t>
  </si>
  <si>
    <t>RES-009</t>
  </si>
  <si>
    <t>Avertissement dépendances équipement REQUIS</t>
  </si>
  <si>
    <t>Si un équipement sélectionné a des dépendances REQUISES, un avertissement s'affiche.</t>
  </si>
  <si>
    <t>Connecté. Équipement avec relation REQUIS existant.</t>
  </si>
  <si>
    <t>1. Accéder à /reservations/creer
2. Sélectionner un équipement ayant des dépendances REQUISES</t>
  </si>
  <si>
    <t>Équipement avec équipement requis</t>
  </si>
  <si>
    <t>Message d'avertissement indiquant les équipements requis manquants.</t>
  </si>
  <si>
    <t>RES-010</t>
  </si>
  <si>
    <t>Suppression d'un équipement du formulaire</t>
  </si>
  <si>
    <t>Un équipement peut être retiré de la liste du formulaire.</t>
  </si>
  <si>
    <t>1. Accéder à /reservations/creer
2. Ajouter 2 équipements
3. Supprimer le premier</t>
  </si>
  <si>
    <t>La ligne de l'équipement supprimé disparaît. La liste ne contient plus que 1 équipement.</t>
  </si>
  <si>
    <t>RES-011</t>
  </si>
  <si>
    <t>Suppression d'une session du formulaire</t>
  </si>
  <si>
    <t>Une session peut être retirée du formulaire.</t>
  </si>
  <si>
    <t>1. Accéder à /reservations/creer
2. Ajouter 2 sessions
3. Supprimer la première</t>
  </si>
  <si>
    <t>La session supprimée disparaît. Il ne reste qu'une session.</t>
  </si>
  <si>
    <t>RES-012</t>
  </si>
  <si>
    <t>Création depuis /disponibilites</t>
  </si>
  <si>
    <t>Les équipements et le jour sélectionnés sur /disponibilites sont pré-remplis.</t>
  </si>
  <si>
    <t>Connecté. Sur /disponibilites avec équipement et jour sélectionnés.</t>
  </si>
  <si>
    <t>1. Depuis /disponibilites, sélectionner un équipement
2. Cliquer sur un jour
3. Cliquer sur « Réserver ces équipements »</t>
  </si>
  <si>
    <t>Formulaire /reservations/creer ouvert avec l'équipement et la date pré-remplis.</t>
  </si>
  <si>
    <t>RES-013</t>
  </si>
  <si>
    <t>Réservation – Mes réservations</t>
  </si>
  <si>
    <t>Affichage liste mes réservations</t>
  </si>
  <si>
    <t>La page /reservations/mes-reservations liste toutes les réservations de l'utilisateur.</t>
  </si>
  <si>
    <t>Connecté. L'utilisateur a des réservations.</t>
  </si>
  <si>
    <t>1. Naviguer vers /reservations/mes-reservations</t>
  </si>
  <si>
    <t>Liste de cartes de réservations avec titre, statut, dates.</t>
  </si>
  <si>
    <t>RES-014</t>
  </si>
  <si>
    <t>Filtre par statut</t>
  </si>
  <si>
    <t>Les filtres de statut (TOUTES, EN_ATTENTE, VALIDÉE, REFUSÉE) filtrent correctement.</t>
  </si>
  <si>
    <t>Connecté. Réservations avec différents statuts.</t>
  </si>
  <si>
    <t>1. Accéder à /reservations/mes-reservations
2. Cliquer sur le filtre « EN_ATTENTE »
3. Vérifier les résultats
4. Tester chaque filtre</t>
  </si>
  <si>
    <t>Réservations avec statuts: EN_ATTENTE, VALIDEE, REFUSEE</t>
  </si>
  <si>
    <t>Seules les réservations du statut sélectionné s'affichent.</t>
  </si>
  <si>
    <t>RES-015</t>
  </si>
  <si>
    <t>Réservation – Détail</t>
  </si>
  <si>
    <t>Affichage page détail réservation</t>
  </si>
  <si>
    <t>La page détail affiche toutes les informations d'une réservation.</t>
  </si>
  <si>
    <t>Connecté. Réservation existante.</t>
  </si>
  <si>
    <t>1. Naviguer vers /reservations/:id</t>
  </si>
  <si>
    <t>ID réservation valide</t>
  </si>
  <si>
    <t>Affichage: titre, description, statut, sessions, emprunts, historique.</t>
  </si>
  <si>
    <t>RES-016</t>
  </si>
  <si>
    <t>Suppression d'une réservation</t>
  </si>
  <si>
    <t>Une réservation peut être supprimée (si statut ≠ SUPPRIMEE).</t>
  </si>
  <si>
    <t>Connecté. Réservation en statut EN_ATTENTE ou VALIDEE.</t>
  </si>
  <si>
    <t>1. Accéder à /reservations/:id
2. Cliquer sur « Supprimer »</t>
  </si>
  <si>
    <t>Confirmation demandée. Après confirmation : réservation supprimée. Redirection.</t>
  </si>
  <si>
    <t>RES-017</t>
  </si>
  <si>
    <t>Boutons admin (valider/refuser) visibles pour ADMIN sur EN_ATTENTE</t>
  </si>
  <si>
    <t>L'admin peut valider ou refuser une réservation EN_ATTENTE.</t>
  </si>
  <si>
    <t>Connecté en ADMIN. Réservation avec statut EN_ATTENTE.</t>
  </si>
  <si>
    <t>1. Accéder à /reservations/:id (EN_ATTENTE)</t>
  </si>
  <si>
    <t>Section d'approbation visible avec boutons « Valider » et « Refuser ».</t>
  </si>
  <si>
    <t>RES-018</t>
  </si>
  <si>
    <t>Validation d'une réservation (ADMIN)</t>
  </si>
  <si>
    <t>L'admin peut valider une réservation EN_ATTENTE.</t>
  </si>
  <si>
    <t>Connecté en ADMIN. Réservation EN_ATTENTE.</t>
  </si>
  <si>
    <t>1. Accéder à /reservations/:id
2. Cliquer sur « Valider »</t>
  </si>
  <si>
    <t>Statut passe à VALIDEE. L'interface se met à jour.</t>
  </si>
  <si>
    <t>RES-019</t>
  </si>
  <si>
    <t>Refus d'une réservation (ADMIN)</t>
  </si>
  <si>
    <t>L'admin peut refuser une réservation EN_ATTENTE.</t>
  </si>
  <si>
    <t>1. Accéder à /reservations/:id
2. Cliquer sur « Refuser »</t>
  </si>
  <si>
    <t>Statut passe à REFUSEE. L'interface se met à jour.</t>
  </si>
  <si>
    <t>RES-020</t>
  </si>
  <si>
    <t>Réservation – Admin</t>
  </si>
  <si>
    <t>Affichage de toutes les réservations (admin)</t>
  </si>
  <si>
    <t>La page /admin/reservations liste toutes les réservations de tous les utilisateurs.</t>
  </si>
  <si>
    <t>1. Naviguer vers /admin/reservations</t>
  </si>
  <si>
    <t>Liste complète des réservations avec filtres de statut.</t>
  </si>
  <si>
    <t>RES-021</t>
  </si>
  <si>
    <t>Vue calendrier des réservations (admin)</t>
  </si>
  <si>
    <t>L'admin peut basculer entre vue liste et vue calendrier.</t>
  </si>
  <si>
    <t>1. Accéder à /admin/reservations
2. Cliquer sur le bouton vue calendrier</t>
  </si>
  <si>
    <t>Vue calendrier affichée avec les réservations positionnées.</t>
  </si>
  <si>
    <t>Recette Fonctionnelle – Profil</t>
  </si>
  <si>
    <t>PRO-001</t>
  </si>
  <si>
    <t>Affichage page profil utilisateur</t>
  </si>
  <si>
    <t>La page /profile affiche les informations de l'utilisateur connecté.</t>
  </si>
  <si>
    <t>1. Naviguer vers /profile</t>
  </si>
  <si>
    <t>Affichage: nom, prénom, email, formation, rôle, statut, date d'expiration.</t>
  </si>
  <si>
    <t>PRO-002</t>
  </si>
  <si>
    <t>Navigation vers édition profil</t>
  </si>
  <si>
    <t>Le bouton « Modifier » ouvre le formulaire d'édition.</t>
  </si>
  <si>
    <t>1. Accéder à /profile
2. Cliquer sur « Modifier »</t>
  </si>
  <si>
    <t>Navigation vers /profile/edit avec les champs pré-remplis.</t>
  </si>
  <si>
    <t>PRO-003</t>
  </si>
  <si>
    <t>Modification profil valide</t>
  </si>
  <si>
    <t>L'utilisateur peut modifier ses informations.</t>
  </si>
  <si>
    <t>Connecté. Sur /profile/edit.</t>
  </si>
  <si>
    <t>1. Modifier le prénom
2. Cliquer sur « Enregistrer »</t>
  </si>
  <si>
    <t>prénom: NouveauPrénom</t>
  </si>
  <si>
    <t>Modifications enregistrées. Toast de confirmation. Navigation vers /profile.</t>
  </si>
  <si>
    <t>PRO-004</t>
  </si>
  <si>
    <t>Soumission formulaire incomplet</t>
  </si>
  <si>
    <t>Le formulaire bloque la soumission si des champs requis sont vides.</t>
  </si>
  <si>
    <t>1. Vider le champ nom
2. Cliquer sur « Enregistrer »</t>
  </si>
  <si>
    <t>nom: (vide)</t>
  </si>
  <si>
    <t>Message d'erreur sur le champ nom. Soumission bloquée.</t>
  </si>
  <si>
    <t>PRO-005</t>
  </si>
  <si>
    <t>Modal de confirmation modifications non sauvegardées</t>
  </si>
  <si>
    <t>Quitter le formulaire avec des modifications non sauvegardées déclenche une modal.</t>
  </si>
  <si>
    <t>Connecté. Sur /profile/edit avec modifications non sauvegardées.</t>
  </si>
  <si>
    <t>1. Modifier une valeur dans le formulaire
2. Cliquer sur le bouton retour ou naviguer ailleurs</t>
  </si>
  <si>
    <t>Modal de confirmation : « Voulez-vous quitter sans sauvegarder ? »</t>
  </si>
  <si>
    <t>PRO-006</t>
  </si>
  <si>
    <t>Annulation sans modification – pas de modal</t>
  </si>
  <si>
    <t>Quitter sans modifications ne déclenche pas de modal.</t>
  </si>
  <si>
    <t>Connecté. Sur /profile/edit sans modification.</t>
  </si>
  <si>
    <t>1. Accéder à /profile/edit
2. Ne rien modifier
3. Cliquer sur Annuler/Retour</t>
  </si>
  <si>
    <t>Navigation directe sans modal.</t>
  </si>
  <si>
    <t>Recette Fonctionnelle – Admin – Users</t>
  </si>
  <si>
    <t>USR-001</t>
  </si>
  <si>
    <t>Admin – Utilisateurs</t>
  </si>
  <si>
    <t>Affichage liste des utilisateurs</t>
  </si>
  <si>
    <t>La page /admin/users liste tous les utilisateurs.</t>
  </si>
  <si>
    <t>1. Naviguer vers /admin/users</t>
  </si>
  <si>
    <t>Liste de tous les utilisateurs avec nom, email, rôle, statut.</t>
  </si>
  <si>
    <t>USR-002</t>
  </si>
  <si>
    <t>Invitation d'un utilisateur (USER)</t>
  </si>
  <si>
    <t>L'admin peut inviter un nouveau compte USER.</t>
  </si>
  <si>
    <t>1. Accéder à /admin/users
2. Remplir le formulaire d'invitation (email, rôle=USER)
3. Cliquer sur « Inviter »</t>
  </si>
  <si>
    <t>email: nouveau@test.com
rôle: USER</t>
  </si>
  <si>
    <t>Compte créé. Mot de passe temporaire affiché. Template email suggéré.</t>
  </si>
  <si>
    <t>USR-003</t>
  </si>
  <si>
    <t>Invitation d'un utilisateur (ADMIN)</t>
  </si>
  <si>
    <t>L'admin peut inviter un compte avec le rôle ADMIN.</t>
  </si>
  <si>
    <t>1. Remplir le formulaire d'invitation
2. Sélectionner rôle=ADMIN
3. Inviter</t>
  </si>
  <si>
    <t>email: admin2@test.com
rôle: ADMIN</t>
  </si>
  <si>
    <t>Compte ADMIN créé. Mot de passe temporaire affiché.</t>
  </si>
  <si>
    <t>USR-004</t>
  </si>
  <si>
    <t>Invitation sans email → erreur</t>
  </si>
  <si>
    <t>Le champ email est obligatoire pour l'invitation.</t>
  </si>
  <si>
    <t>1. Laisser le champ email vide
2. Cliquer sur « Inviter »</t>
  </si>
  <si>
    <t>email: (vide)</t>
  </si>
  <si>
    <t>Message d'erreur de validation sur le champ email.</t>
  </si>
  <si>
    <t>USR-005</t>
  </si>
  <si>
    <t>Clic sur utilisateur → page profil</t>
  </si>
  <si>
    <t>Cliquer sur un utilisateur ouvre sa page profil.</t>
  </si>
  <si>
    <t>Connecté en ADMIN. Des utilisateurs existent.</t>
  </si>
  <si>
    <t>1. Accéder à /admin/users
2. Cliquer sur un utilisateur</t>
  </si>
  <si>
    <t>Navigation vers /admin/users/:id.</t>
  </si>
  <si>
    <t>USR-006</t>
  </si>
  <si>
    <t>Modification profil d'un utilisateur (admin)</t>
  </si>
  <si>
    <t>L'admin peut modifier le profil d'un autre utilisateur.</t>
  </si>
  <si>
    <t>Connecté en ADMIN. Page profil d'un utilisateur.</t>
  </si>
  <si>
    <t>1. Accéder à /admin/users/:id
2. Cliquer sur « Modifier »
3. Modifier une valeur
4. Enregistrer</t>
  </si>
  <si>
    <t>nouveau prénom: ModifiéAdmin</t>
  </si>
  <si>
    <t>Modifications enregistrées.</t>
  </si>
  <si>
    <t>USR-007</t>
  </si>
  <si>
    <t>Modification date d'expiration</t>
  </si>
  <si>
    <t>L'admin peut changer la date d'expiration d'un compte.</t>
  </si>
  <si>
    <t>Connecté en ADMIN. Page profil utilisateur.</t>
  </si>
  <si>
    <t>1. Accéder à /admin/users/:id
2. Modifier la date d'expiration
3. Sauvegarder</t>
  </si>
  <si>
    <t>date: 2026-12-31</t>
  </si>
  <si>
    <t>Date d'expiration mise à jour.</t>
  </si>
  <si>
    <t>USR-008</t>
  </si>
  <si>
    <t>Réinitialisation mot de passe</t>
  </si>
  <si>
    <t>L'admin peut réinitialiser le mot de passe d'un utilisateur.</t>
  </si>
  <si>
    <t>1. Accéder à /admin/users/:id
2. Cliquer sur « Réinitialiser le mot de passe »</t>
  </si>
  <si>
    <t>Nouveau mot de passe temporaire généré et affiché.</t>
  </si>
  <si>
    <t>USR-009</t>
  </si>
  <si>
    <t>Suppression d'un utilisateur</t>
  </si>
  <si>
    <t>L'admin peut supprimer un compte utilisateur.</t>
  </si>
  <si>
    <t>1. Accéder à /admin/users/:id
2. Cliquer sur « Supprimer »
3. Confirmer</t>
  </si>
  <si>
    <t>Confirmation demandée. Utilisateur supprimé. Redirection vers /admin/users.</t>
  </si>
  <si>
    <t>Recette Fonctionnelle – Admin – Équipements</t>
  </si>
  <si>
    <t>ADMEQP-001</t>
  </si>
  <si>
    <t>Affichage liste admin équipements</t>
  </si>
  <si>
    <t>La page /admin/equipements liste tous les équipements avec actions.</t>
  </si>
  <si>
    <t>1. Naviguer vers /admin/equipements</t>
  </si>
  <si>
    <t>Liste des équipements avec boutons Modifier et Supprimer.</t>
  </si>
  <si>
    <t>ADMEQP-002</t>
  </si>
  <si>
    <t>Création équipement valide</t>
  </si>
  <si>
    <t>Un admin peut créer un équipement avec tous les champs requis.</t>
  </si>
  <si>
    <t>1. Aller sur /equipements/ajouter-equipement
2. Remplir nom, description, URL image
3. Cliquer sur « Créer »</t>
  </si>
  <si>
    <t>nom: Oscilloscope
description: Appareil de mesure
urlImage: https://example.com/img.jpg</t>
  </si>
  <si>
    <t>Équipement créé. Redirection vers la fiche du nouvel équipement.</t>
  </si>
  <si>
    <t>ADMEQP-003</t>
  </si>
  <si>
    <t>Nom manquant → erreur</t>
  </si>
  <si>
    <t>Le nom est obligatoire pour créer un équipement.</t>
  </si>
  <si>
    <t>Connecté en ADMIN. Sur le formulaire équipement.</t>
  </si>
  <si>
    <t>1. Laisser le champ nom vide
2. Remplir les autres champs
3. Soumettre</t>
  </si>
  <si>
    <t>Message d'erreur sur le champ nom.</t>
  </si>
  <si>
    <t>ADMEQP-004</t>
  </si>
  <si>
    <t>Description manquante → erreur</t>
  </si>
  <si>
    <t>1. Laisser le champ description vide
2. Soumettre</t>
  </si>
  <si>
    <t>ADMEQP-005</t>
  </si>
  <si>
    <t>Ajout de labels à un équipement</t>
  </si>
  <si>
    <t>On peut associer des labels lors de la création/édition.</t>
  </si>
  <si>
    <t>Connecté en ADMIN. Labels existants.</t>
  </si>
  <si>
    <t>1. Ouvrir le formulaire équipement
2. Sélectionner des labels dans le combobox
3. Sauvegarder</t>
  </si>
  <si>
    <t>Labels: Électronique, Mesure</t>
  </si>
  <si>
    <t>Les labels sélectionnés apparaissent sur la fiche équipement.</t>
  </si>
  <si>
    <t>ADMEQP-006</t>
  </si>
  <si>
    <t>Ajout de liens ressources</t>
  </si>
  <si>
    <t>On peut ajouter des liens ressources (URLs) à un équipement.</t>
  </si>
  <si>
    <t>1. Ouvrir le formulaire équipement
2. Cliquer sur « Ajouter un lien »
3. Saisir une URL valide
4. Sauvegarder</t>
  </si>
  <si>
    <t>URL: https://docs.example.com/guide</t>
  </si>
  <si>
    <t>Le lien est sauvegardé et affiché sur la fiche équipement.</t>
  </si>
  <si>
    <t>ADMEQP-007</t>
  </si>
  <si>
    <t>Ajout relation REQUIS</t>
  </si>
  <si>
    <t>On peut définir une relation REQUIS entre équipements.</t>
  </si>
  <si>
    <t>Connecté en ADMIN. Plusieurs équipements.</t>
  </si>
  <si>
    <t>1. Formulaire équipement
2. Ajouter une relation
3. Sélectionner REQUIS
4. Choisir l'équipement cible
5. Sauvegarder</t>
  </si>
  <si>
    <t>Relation: REQUIS → Équipement B</t>
  </si>
  <si>
    <t>Relation REQUIS sauvegardée. Visible sur la fiche équipement.</t>
  </si>
  <si>
    <t>ADMEQP-008</t>
  </si>
  <si>
    <t>Ajout relation COMPATIBLE et RECOMMANDE</t>
  </si>
  <si>
    <t>On peut créer des relations COMPATIBLE et RECOMMANDE.</t>
  </si>
  <si>
    <t>1. Ajouter une relation COMPATIBLE
2. Sauvegarder
3. Ajouter une relation RECOMMANDE
4. Sauvegarder</t>
  </si>
  <si>
    <t>Relations: COMPATIBLE, RECOMMANDE</t>
  </si>
  <si>
    <t>Les deux types de relations sont sauvegardés et affichés.</t>
  </si>
  <si>
    <t>ADMEQP-009</t>
  </si>
  <si>
    <t>Modification équipement existant</t>
  </si>
  <si>
    <t>L'admin peut modifier un équipement existant.</t>
  </si>
  <si>
    <t>1. Aller sur /admin/equipements/:id/modifier
2. Modifier le nom
3. Sauvegarder</t>
  </si>
  <si>
    <t>nom modifié: Oscilloscope Pro</t>
  </si>
  <si>
    <t>Modification enregistrée. Fiche mise à jour.</t>
  </si>
  <si>
    <t>ADMEQP-010</t>
  </si>
  <si>
    <t>Modal non-sauvegardé en quittant le formulaire</t>
  </si>
  <si>
    <t>Naviguer hors du formulaire avec modifications non sauvegardées déclenche une modal.</t>
  </si>
  <si>
    <t>Connecté en ADMIN. Formulaire équipement avec modifications.</t>
  </si>
  <si>
    <t>1. Modifier un champ dans le formulaire
2. Cliquer sur Retour ou naviguer ailleurs</t>
  </si>
  <si>
    <t>Modal de confirmation des modifications non sauvegardées.</t>
  </si>
  <si>
    <t>ADMEQP-011</t>
  </si>
  <si>
    <t>Suppression équipement (liste admin)</t>
  </si>
  <si>
    <t>La suppression depuis la liste admin fonctionne avec confirmation.</t>
  </si>
  <si>
    <t>1. Accéder à /admin/equipements
2. Cliquer sur « Supprimer » sur un équipement
3. Confirmer</t>
  </si>
  <si>
    <t>Équipement supprimé. La liste se met à jour.</t>
  </si>
  <si>
    <t>Recette Fonctionnelle – Admin – Exemplaires</t>
  </si>
  <si>
    <t>ADMEX-001</t>
  </si>
  <si>
    <t>Affichage liste admin exemplaires</t>
  </si>
  <si>
    <t>La page /admin/exemplaires liste tous les exemplaires.</t>
  </si>
  <si>
    <t>1. Naviguer vers /admin/exemplaires</t>
  </si>
  <si>
    <t>Liste des exemplaires avec statut, équipement associé, boutons d'action.</t>
  </si>
  <si>
    <t>ADMEX-002</t>
  </si>
  <si>
    <t>Création d'un exemplaire</t>
  </si>
  <si>
    <t>L'admin peut créer un nouvel exemplaire associé à un équipement.</t>
  </si>
  <si>
    <t>Connecté en ADMIN. Équipements existants.</t>
  </si>
  <si>
    <t>1. Cliquer sur « Ajouter un exemplaire »
2. Remplir le formulaire
3. Soumettre</t>
  </si>
  <si>
    <t>équipement: (sélectionner)
statut: DISPONIBLE</t>
  </si>
  <si>
    <t>Exemplaire créé et visible dans la liste.</t>
  </si>
  <si>
    <t>ADMEX-003</t>
  </si>
  <si>
    <t>Modification statut d'un exemplaire</t>
  </si>
  <si>
    <t>Le statut d'un exemplaire peut être modifié (DISPONIBLE, MAINTENANCE, HORS_SERVICE).</t>
  </si>
  <si>
    <t>Connecté en ADMIN. Exemplaire existant.</t>
  </si>
  <si>
    <t>1. Accéder à la modification d'un exemplaire
2. Changer le statut
3. Sauvegarder</t>
  </si>
  <si>
    <t>statut: MAINTENANCE</t>
  </si>
  <si>
    <t>Statut mis à jour.</t>
  </si>
  <si>
    <t>ADMEX-004</t>
  </si>
  <si>
    <t>Suppression d'un exemplaire</t>
  </si>
  <si>
    <t>L'admin peut supprimer un exemplaire.</t>
  </si>
  <si>
    <t>1. Cliquer sur « Supprimer » sur un exemplaire
2. Confirmer</t>
  </si>
  <si>
    <t>Exemplaire supprimé de la liste.</t>
  </si>
  <si>
    <t>ADMEX-005</t>
  </si>
  <si>
    <t>Affichage page détail exemplaire</t>
  </si>
  <si>
    <t>La page /exemplaires/:id affiche les détails et l'historique des emprunts.</t>
  </si>
  <si>
    <t>Connecté. Exemplaire avec emprunts.</t>
  </si>
  <si>
    <t>1. Naviguer vers /exemplaires/:id</t>
  </si>
  <si>
    <t>ID exemplaire valide</t>
  </si>
  <si>
    <t>Affichage: infos exemplaire, historique des emprunts.</t>
  </si>
  <si>
    <t>Recette Fonctionnelle – Admin – Labels</t>
  </si>
  <si>
    <t>LBL-001</t>
  </si>
  <si>
    <t>Affichage liste des labels</t>
  </si>
  <si>
    <t>La page /admin/labels liste tous les labels existants.</t>
  </si>
  <si>
    <t>1. Naviguer vers /admin/labels</t>
  </si>
  <si>
    <t>Liste des labels avec nom, description, couleur, boutons Modifier/Supprimer.</t>
  </si>
  <si>
    <t>LBL-002</t>
  </si>
  <si>
    <t>Création d'un label valide</t>
  </si>
  <si>
    <t>L'admin peut créer un nouveau label avec nom et couleur.</t>
  </si>
  <si>
    <t>1. Accéder à /admin/labels
2. Remplir le formulaire (nom, couleur)
3. Cliquer sur « Créer »</t>
  </si>
  <si>
    <t>nom: Électronique
couleur: #3B82F6</t>
  </si>
  <si>
    <t>Label créé. Visible dans la liste avec la couleur choisie.</t>
  </si>
  <si>
    <t>LBL-003</t>
  </si>
  <si>
    <t>Création label sans nom → erreur</t>
  </si>
  <si>
    <t>Le nom est obligatoire pour un label.</t>
  </si>
  <si>
    <t>1. Laisser le champ nom vide
2. Cliquer sur « Créer »</t>
  </si>
  <si>
    <t>LBL-004</t>
  </si>
  <si>
    <t>Aperçu temps réel de la couleur</t>
  </si>
  <si>
    <t>Changer la couleur met à jour l'aperçu du label en temps réel.</t>
  </si>
  <si>
    <t>Connecté en ADMIN. Formulaire label ouvert.</t>
  </si>
  <si>
    <t>1. Saisir un nom
2. Changer la couleur avec le color picker</t>
  </si>
  <si>
    <t>couleur: #EF4444</t>
  </si>
  <si>
    <t>L'aperçu du label se met à jour en temps réel avec la nouvelle couleur.</t>
  </si>
  <si>
    <t>LBL-005</t>
  </si>
  <si>
    <t>Modification d'un label existant</t>
  </si>
  <si>
    <t>L'admin peut modifier le nom, la description ou la couleur d'un label.</t>
  </si>
  <si>
    <t>Connecté en ADMIN. Label existant.</t>
  </si>
  <si>
    <t>1. Cliquer sur « Modifier » sur un label
2. Changer le nom
3. Sauvegarder</t>
  </si>
  <si>
    <t>nom modifié: Électronique Avancée</t>
  </si>
  <si>
    <t>Label mis à jour dans la liste.</t>
  </si>
  <si>
    <t>LBL-006</t>
  </si>
  <si>
    <t>Suppression d'un label</t>
  </si>
  <si>
    <t>L'admin peut supprimer un label.</t>
  </si>
  <si>
    <t>1. Cliquer sur « Supprimer » sur un label</t>
  </si>
  <si>
    <t>Label supprimé de la liste.</t>
  </si>
  <si>
    <t>LBL-007</t>
  </si>
  <si>
    <t>Labels</t>
  </si>
  <si>
    <t>Affichage page détail label</t>
  </si>
  <si>
    <t>La page /labels/:id affiche les détails du label et les équipements associés.</t>
  </si>
  <si>
    <t>1. Naviguer vers /labels/:id</t>
  </si>
  <si>
    <t>ID label valide</t>
  </si>
  <si>
    <t>Nom, description, couleur du label et liste des équipements associés.</t>
  </si>
  <si>
    <t>Recette Fonctionnelle – Navigation</t>
  </si>
  <si>
    <t>NAV-001</t>
  </si>
  <si>
    <t>Ouverture/fermeture menu hamburger</t>
  </si>
  <si>
    <t>Le menu latéral s'ouvre et se ferme via le bouton hamburger.</t>
  </si>
  <si>
    <t>1. Cliquer sur l'icône hamburger
2. Vérifier l'ouverture
3. Cliquer à nouveau</t>
  </si>
  <si>
    <t>Menu s'ouvre. Deuxième clic le referme.</t>
  </si>
  <si>
    <t>NAV-002</t>
  </si>
  <si>
    <t>Menu latéral – liens USER</t>
  </si>
  <si>
    <t>Le menu contient les liens de navigation pour un USER.</t>
  </si>
  <si>
    <t>Connecté en USER. Menu ouvert.</t>
  </si>
  <si>
    <t>1. Ouvrir le menu</t>
  </si>
  <si>
    <t>Liens visibles: Home, Catalogue, Disponibilités, Mes Réservations, Mon Profil, Aide.</t>
  </si>
  <si>
    <t>NAV-003</t>
  </si>
  <si>
    <t>Menu latéral – liens ADMIN</t>
  </si>
  <si>
    <t>L'admin voit les liens admin supplémentaires.</t>
  </si>
  <si>
    <t>Connecté en ADMIN. Menu ouvert.</t>
  </si>
  <si>
    <t>Liens USER + section admin: Utilisateurs, Équipements, Exemplaires, Réservations, Labels.</t>
  </si>
  <si>
    <t>NAV-004</t>
  </si>
  <si>
    <t>Liens admin invisibles pour USER</t>
  </si>
  <si>
    <t>Un USER ne voit pas les liens admin dans le menu.</t>
  </si>
  <si>
    <t>Aucun lien /admin/* dans le menu.</t>
  </si>
  <si>
    <t>NAV-005</t>
  </si>
  <si>
    <t>Clic logo → /home</t>
  </si>
  <si>
    <t>Cliquer sur le logo navigue vers la page d'accueil.</t>
  </si>
  <si>
    <t>1. Cliquer sur le logo dans le Header</t>
  </si>
  <si>
    <t>Navigation vers /home.</t>
  </si>
  <si>
    <t>NAV-006</t>
  </si>
  <si>
    <t>Bouton retour (LienRetour)</t>
  </si>
  <si>
    <t>Le bouton retour navigue vers la page précédente.</t>
  </si>
  <si>
    <t>Connecté. Navigué depuis /equipements vers /equipements/:id.</t>
  </si>
  <si>
    <t>1. Depuis /equipements/:id, cliquer sur le bouton retour</t>
  </si>
  <si>
    <t>Retour à /equipements.</t>
  </si>
  <si>
    <t>NAV-007</t>
  </si>
  <si>
    <t>Page 404</t>
  </si>
  <si>
    <t>Accéder à une route inconnue affiche la page 404.</t>
  </si>
  <si>
    <t>1. Naviguer vers /route-inexistante</t>
  </si>
  <si>
    <t>URL: /route-inexistante</t>
  </si>
  <si>
    <t>Page 404 affichée avec un message adapté.</t>
  </si>
  <si>
    <t>NAV-008</t>
  </si>
  <si>
    <t>Page aide (/aide)</t>
  </si>
  <si>
    <t>La page aide affiche le contenu du tutoriel.</t>
  </si>
  <si>
    <t>1. Naviguer vers /aide</t>
  </si>
  <si>
    <t>Page d'aide avec le contenu tutoriel affiché.</t>
  </si>
  <si>
    <t>Recette Fonctionnelle – Erreurs</t>
  </si>
  <si>
    <t>ERR-001</t>
  </si>
  <si>
    <t>Gestion d'erreurs</t>
  </si>
  <si>
    <t>Erreur réseau lors d'un appel API</t>
  </si>
  <si>
    <t>En cas d'indisponibilité du serveur, un message d'erreur s'affiche.</t>
  </si>
  <si>
    <t>Connecté. Serveur coupé ou inaccessible.</t>
  </si>
  <si>
    <t>1. Couper la connexion réseau ou arrêter le serveur
2. Effectuer une action (ex: charger le catalogue)</t>
  </si>
  <si>
    <t>Message d'erreur réseau affiché (ErrorCard ou toast).</t>
  </si>
  <si>
    <t>ERR-002</t>
  </si>
  <si>
    <t>Ressource inexistante – équipement</t>
  </si>
  <si>
    <t>Accéder à un équipement inexistant retourne une erreur.</t>
  </si>
  <si>
    <t>1. Naviguer vers /equipements/999999</t>
  </si>
  <si>
    <t>ID: 999999</t>
  </si>
  <si>
    <t>ErrorCard affichée avec message d'erreur.</t>
  </si>
  <si>
    <t>ERR-003</t>
  </si>
  <si>
    <t>Ressource inexistante – réservation</t>
  </si>
  <si>
    <t>Accéder à une réservation inexistante retourne une erreur.</t>
  </si>
  <si>
    <t>1. Naviguer vers /reservations/999999</t>
  </si>
  <si>
    <t>ErrorCard affichée.</t>
  </si>
  <si>
    <t>ERR-004</t>
  </si>
  <si>
    <t>Chargement en cours – état de chargement</t>
  </si>
  <si>
    <t>Pendant un appel API, un indicateur de chargement s'affiche.</t>
  </si>
  <si>
    <t>Connecté. Réseau lent simulé.</t>
  </si>
  <si>
    <t>1. Naviguer vers une page qui charge des données</t>
  </si>
  <si>
    <t>Texte « Chargement... » ou indicateur visible pendant le chargement.</t>
  </si>
  <si>
    <t>ERR-005</t>
  </si>
  <si>
    <t>Bouton désactivé en cours de soumission</t>
  </si>
  <si>
    <t>Le bouton de soumission est désactivé et affiche un état de chargement.</t>
  </si>
  <si>
    <t>Connecté. Formulaire prêt à être soumis.</t>
  </si>
  <si>
    <t>1. Remplir un formulaire
2. Cliquer sur « Enregistrer »
3. Observer le bouton</t>
  </si>
  <si>
    <t>Bouton désactivé avec texte « Enregistrement... ».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</si>
</sst>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FFFFFF"/>
      <name val="Calibri"/>
    </font>
    <font/>
    <font>
      <b/>
      <sz val="10.0"/>
      <color rgb="FFFFFFFF"/>
      <name val="Calibri"/>
    </font>
    <font>
      <sz val="10.0"/>
      <color rgb="FF000000"/>
      <name val="Calibri"/>
    </font>
    <font>
      <b/>
      <sz val="11.0"/>
      <color rgb="FFFFFFFF"/>
      <name val="Calibri"/>
    </font>
    <font>
      <b/>
      <sz val="14.0"/>
      <color rgb="FFFFFFFF"/>
      <name val="Calibri"/>
    </font>
    <font>
      <b/>
      <sz val="10.0"/>
      <color theme="1"/>
      <name val="Calibri"/>
    </font>
    <font>
      <b/>
      <sz val="10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1E3A5F"/>
        <bgColor rgb="FF1E3A5F"/>
      </patternFill>
    </fill>
    <fill>
      <patternFill patternType="solid">
        <fgColor rgb="FFFFFFFF"/>
        <bgColor rgb="FFFFFFFF"/>
      </patternFill>
    </fill>
    <fill>
      <patternFill patternType="solid">
        <fgColor rgb="FFF0F4FF"/>
        <bgColor rgb="FFF0F4FF"/>
      </patternFill>
    </fill>
    <fill>
      <patternFill patternType="solid">
        <fgColor rgb="FF2563EB"/>
        <bgColor rgb="FF2563EB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vertical="center"/>
    </xf>
    <xf borderId="4" fillId="4" fontId="4" numFmtId="0" xfId="0" applyAlignment="1" applyBorder="1" applyFont="1">
      <alignment horizontal="center" vertical="center"/>
    </xf>
    <xf borderId="4" fillId="5" fontId="4" numFmtId="0" xfId="0" applyAlignment="1" applyBorder="1" applyFill="1" applyFont="1">
      <alignment horizontal="left" vertical="center"/>
    </xf>
    <xf borderId="4" fillId="3" fontId="5" numFmtId="0" xfId="0" applyAlignment="1" applyBorder="1" applyFont="1">
      <alignment horizontal="center" vertical="center"/>
    </xf>
    <xf borderId="1" fillId="6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ont="1">
      <alignment horizontal="left" shrinkToFit="0" vertical="center" wrapText="1"/>
    </xf>
    <xf borderId="4" fillId="7" fontId="4" numFmtId="0" xfId="0" applyAlignment="1" applyBorder="1" applyFont="1">
      <alignment shrinkToFit="0" vertical="center" wrapText="1"/>
    </xf>
    <xf borderId="4" fillId="7" fontId="4" numFmtId="0" xfId="0" applyAlignment="1" applyBorder="1" applyFont="1">
      <alignment readingOrder="0" shrinkToFit="0" vertical="center" wrapText="1"/>
    </xf>
    <xf borderId="4" fillId="8" fontId="8" numFmtId="0" xfId="0" applyAlignment="1" applyBorder="1" applyFill="1" applyFont="1">
      <alignment horizontal="center" shrinkToFit="0" vertical="center" wrapText="1"/>
    </xf>
    <xf borderId="4" fillId="8" fontId="4" numFmtId="0" xfId="0" applyAlignment="1" applyBorder="1" applyFont="1">
      <alignment horizontal="left" shrinkToFit="0" vertical="center" wrapText="1"/>
    </xf>
    <xf borderId="4" fillId="8" fontId="4" numFmtId="0" xfId="0" applyAlignment="1" applyBorder="1" applyFont="1">
      <alignment shrinkToFit="0" vertical="center" wrapText="1"/>
    </xf>
    <xf borderId="4" fillId="9" fontId="8" numFmtId="0" xfId="0" applyAlignment="1" applyBorder="1" applyFill="1" applyFont="1">
      <alignment horizontal="center" shrinkToFit="0" vertical="center" wrapText="1"/>
    </xf>
    <xf borderId="4" fillId="9" fontId="4" numFmtId="0" xfId="0" applyAlignment="1" applyBorder="1" applyFont="1">
      <alignment horizontal="left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4" fillId="7" fontId="4" numFmtId="0" xfId="0" applyAlignment="1" applyBorder="1" applyFont="1">
      <alignment horizontal="left" shrinkToFit="0" vertical="center" wrapText="1"/>
    </xf>
    <xf borderId="4" fillId="7" fontId="4" numFmtId="0" xfId="0" applyAlignment="1" applyBorder="1" applyFont="1">
      <alignment horizontal="center" shrinkToFit="0" vertical="center" wrapText="1"/>
    </xf>
    <xf borderId="4" fillId="8" fontId="8" numFmtId="0" xfId="0" applyAlignment="1" applyBorder="1" applyFont="1">
      <alignment horizontal="center" shrinkToFit="0" vertical="center" wrapText="1"/>
    </xf>
    <xf borderId="4" fillId="8" fontId="4" numFmtId="0" xfId="0" applyAlignment="1" applyBorder="1" applyFont="1">
      <alignment horizontal="left" shrinkToFit="0" vertical="center" wrapText="1"/>
    </xf>
    <xf borderId="4" fillId="9" fontId="8" numFmtId="0" xfId="0" applyAlignment="1" applyBorder="1" applyFont="1">
      <alignment horizontal="center" shrinkToFit="0" vertical="center" wrapText="1"/>
    </xf>
    <xf borderId="4" fillId="9" fontId="4" numFmtId="0" xfId="0" applyAlignment="1" applyBorder="1" applyFont="1">
      <alignment horizontal="left" shrinkToFit="0" vertical="center" wrapText="1"/>
    </xf>
    <xf borderId="4" fillId="8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Authentific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itialis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eau de bo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ableau de bord-style 2">
      <tableStyleElement dxfId="2" type="firstRowStripe"/>
      <tableStyleElement dxfId="3" type="secondRowStripe"/>
    </tableStyle>
    <tableStyle count="4" pivot="0" name="Catalogu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Réservations-style">
      <tableStyleElement dxfId="2" type="firstRowStripe"/>
      <tableStyleElement dxfId="3" type="secondRowStripe"/>
    </tableStyle>
    <tableStyle count="2" pivot="0" name="Profil-style">
      <tableStyleElement dxfId="2" type="firstRowStripe"/>
      <tableStyleElement dxfId="3" type="secondRowStripe"/>
    </tableStyle>
    <tableStyle count="2" pivot="0" name="Erreur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M14" displayName="Tableau1" name="Tableau1" id="1">
  <tableColumns count="13">
    <tableColumn name="ID" id="1"/>
    <tableColumn name="Fonctionnalité" id="2"/>
    <tableColumn name="Scénario" id="3"/>
    <tableColumn name="Description" id="4"/>
    <tableColumn name="Préconditions" id="5"/>
    <tableColumn name="Étapes détaillées" id="6"/>
    <tableColumn name="Données de test" id="7"/>
    <tableColumn name="Résultat attendu" id="8"/>
    <tableColumn name="Résultat obtenu" id="9"/>
    <tableColumn name="Statut" id="10"/>
    <tableColumn name="Criticité" id="11"/>
    <tableColumn name="Rôle requis" id="12"/>
    <tableColumn name="Commentaires" id="13"/>
  </tableColumns>
  <tableStyleInfo name="Authentification-style" showColumnStripes="0" showFirstColumn="1" showLastColumn="1" showRowStripes="1"/>
</table>
</file>

<file path=xl/tables/table2.xml><?xml version="1.0" encoding="utf-8"?>
<table xmlns="http://schemas.openxmlformats.org/spreadsheetml/2006/main" ref="A3:M8" displayName="Tableau2" name="Tableau2" id="2">
  <tableColumns count="13">
    <tableColumn name="ID" id="1"/>
    <tableColumn name="Fonctionnalité" id="2"/>
    <tableColumn name="Scénario" id="3"/>
    <tableColumn name="Description" id="4"/>
    <tableColumn name="Préconditions" id="5"/>
    <tableColumn name="Étapes détaillées" id="6"/>
    <tableColumn name="Données de test" id="7"/>
    <tableColumn name="Résultat attendu" id="8"/>
    <tableColumn name="Résultat obtenu" id="9"/>
    <tableColumn name="Statut" id="10"/>
    <tableColumn name="Criticité" id="11"/>
    <tableColumn name="Rôle requis" id="12"/>
    <tableColumn name="Commentaires" id="13"/>
  </tableColumns>
  <tableStyleInfo name="Initialisation-style" showColumnStripes="0" showFirstColumn="1" showLastColumn="1" showRowStripes="1"/>
</table>
</file>

<file path=xl/tables/table3.xml><?xml version="1.0" encoding="utf-8"?>
<table xmlns="http://schemas.openxmlformats.org/spreadsheetml/2006/main" ref="A3:M9" displayName="Tableau4" name="Tableau4" id="3">
  <tableColumns count="13">
    <tableColumn name="ID" id="1"/>
    <tableColumn name="Fonctionnalité" id="2"/>
    <tableColumn name="Scénario" id="3"/>
    <tableColumn name="Description" id="4"/>
    <tableColumn name="Préconditions" id="5"/>
    <tableColumn name="Étapes détaillées" id="6"/>
    <tableColumn name="Données de test" id="7"/>
    <tableColumn name="Résultat attendu" id="8"/>
    <tableColumn name="Résultat obtenu" id="9"/>
    <tableColumn name="Statut" id="10"/>
    <tableColumn name="Criticité" id="11"/>
    <tableColumn name="Rôle requis" id="12"/>
    <tableColumn name="Commentaires" id="13"/>
  </tableColumns>
  <tableStyleInfo name="Tableau de bord-style" showColumnStripes="0" showFirstColumn="1" showLastColumn="1" showRowStripes="1"/>
</table>
</file>

<file path=xl/tables/table4.xml><?xml version="1.0" encoding="utf-8"?>
<table xmlns="http://schemas.openxmlformats.org/spreadsheetml/2006/main" headerRowCount="0" ref="J11:L11" displayName="Table_1" name="Table_1" id="4">
  <tableColumns count="3">
    <tableColumn name="Column1" id="1"/>
    <tableColumn name="Column2" id="2"/>
    <tableColumn name="Column3" id="3"/>
  </tableColumns>
  <tableStyleInfo name="Tableau de bord-style 2" showColumnStripes="0" showFirstColumn="1" showLastColumn="1" showRowStripes="1"/>
</table>
</file>

<file path=xl/tables/table5.xml><?xml version="1.0" encoding="utf-8"?>
<table xmlns="http://schemas.openxmlformats.org/spreadsheetml/2006/main" ref="A3:M8" displayName="Tableau3" name="Tableau3" id="5">
  <tableColumns count="13">
    <tableColumn name="ID" id="1"/>
    <tableColumn name="Fonctionnalité" id="2"/>
    <tableColumn name="Scénario" id="3"/>
    <tableColumn name="Description" id="4"/>
    <tableColumn name="Préconditions" id="5"/>
    <tableColumn name="Étapes détaillées" id="6"/>
    <tableColumn name="Données de test" id="7"/>
    <tableColumn name="Résultat attendu" id="8"/>
    <tableColumn name="Résultat obtenu" id="9"/>
    <tableColumn name="Statut" id="10"/>
    <tableColumn name="Criticité" id="11"/>
    <tableColumn name="Rôle requis" id="12"/>
    <tableColumn name="Commentaires" id="13"/>
  </tableColumns>
  <tableStyleInfo name="Catalogue-style" showColumnStripes="0" showFirstColumn="1" showLastColumn="1" showRowStripes="1"/>
</table>
</file>

<file path=xl/tables/table6.xml><?xml version="1.0" encoding="utf-8"?>
<table xmlns="http://schemas.openxmlformats.org/spreadsheetml/2006/main" headerRowCount="0" ref="J25:L25" displayName="Table_2" name="Table_2" id="6">
  <tableColumns count="3">
    <tableColumn name="Column1" id="1"/>
    <tableColumn name="Column2" id="2"/>
    <tableColumn name="Column3" id="3"/>
  </tableColumns>
  <tableStyleInfo name="Réservations-style" showColumnStripes="0" showFirstColumn="1" showLastColumn="1" showRowStripes="1"/>
</table>
</file>

<file path=xl/tables/table7.xml><?xml version="1.0" encoding="utf-8"?>
<table xmlns="http://schemas.openxmlformats.org/spreadsheetml/2006/main" headerRowCount="0" ref="J10:L10" displayName="Table_3" name="Table_3" id="7">
  <tableColumns count="3">
    <tableColumn name="Column1" id="1"/>
    <tableColumn name="Column2" id="2"/>
    <tableColumn name="Column3" id="3"/>
  </tableColumns>
  <tableStyleInfo name="Profil-style" showColumnStripes="0" showFirstColumn="1" showLastColumn="1" showRowStripes="1"/>
</table>
</file>

<file path=xl/tables/table8.xml><?xml version="1.0" encoding="utf-8"?>
<table xmlns="http://schemas.openxmlformats.org/spreadsheetml/2006/main" headerRowCount="0" ref="J9:L11" displayName="Table_4" name="Table_4" id="8">
  <tableColumns count="3">
    <tableColumn name="Column1" id="1"/>
    <tableColumn name="Column2" id="2"/>
    <tableColumn name="Column3" id="3"/>
  </tableColumns>
  <tableStyleInfo name="Erreu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172A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5.0"/>
    <col customWidth="1" min="3" max="3" width="20.0"/>
    <col customWidth="1" min="4" max="26" width="8.71"/>
  </cols>
  <sheetData>
    <row r="1" ht="39.75" customHeight="1">
      <c r="A1" s="1" t="s">
        <v>0</v>
      </c>
      <c r="B1" s="2"/>
      <c r="C1" s="3"/>
    </row>
    <row r="2" ht="19.5" customHeight="1">
      <c r="A2" s="4" t="s">
        <v>1</v>
      </c>
      <c r="B2" s="4" t="s">
        <v>2</v>
      </c>
      <c r="C2" s="4" t="s">
        <v>3</v>
      </c>
    </row>
    <row r="3" ht="21.75" customHeight="1">
      <c r="A3" s="5" t="s">
        <v>4</v>
      </c>
      <c r="B3" s="6">
        <f t="shared" ref="B3:B16" si="1">COUNTA(INDIRECT("'" &amp; A3 &amp; "'!A3:A"))</f>
        <v>12</v>
      </c>
      <c r="C3" s="5" t="s">
        <v>5</v>
      </c>
    </row>
    <row r="4" ht="21.75" customHeight="1">
      <c r="A4" s="7" t="s">
        <v>6</v>
      </c>
      <c r="B4" s="6">
        <f t="shared" si="1"/>
        <v>6</v>
      </c>
      <c r="C4" s="7" t="s">
        <v>7</v>
      </c>
    </row>
    <row r="5" ht="21.75" customHeight="1">
      <c r="A5" s="5" t="s">
        <v>8</v>
      </c>
      <c r="B5" s="6">
        <f t="shared" si="1"/>
        <v>7</v>
      </c>
      <c r="C5" s="5" t="s">
        <v>9</v>
      </c>
    </row>
    <row r="6" ht="21.75" customHeight="1">
      <c r="A6" s="7" t="s">
        <v>10</v>
      </c>
      <c r="B6" s="6">
        <f t="shared" si="1"/>
        <v>6</v>
      </c>
      <c r="C6" s="7" t="s">
        <v>11</v>
      </c>
    </row>
    <row r="7" ht="21.75" customHeight="1">
      <c r="A7" s="5" t="s">
        <v>12</v>
      </c>
      <c r="B7" s="6">
        <f t="shared" si="1"/>
        <v>10</v>
      </c>
      <c r="C7" s="5" t="s">
        <v>13</v>
      </c>
    </row>
    <row r="8" ht="21.75" customHeight="1">
      <c r="A8" s="7" t="s">
        <v>14</v>
      </c>
      <c r="B8" s="6">
        <f t="shared" si="1"/>
        <v>7</v>
      </c>
      <c r="C8" s="7" t="s">
        <v>15</v>
      </c>
    </row>
    <row r="9" ht="21.75" customHeight="1">
      <c r="A9" s="5" t="s">
        <v>16</v>
      </c>
      <c r="B9" s="6">
        <f t="shared" si="1"/>
        <v>21</v>
      </c>
      <c r="C9" s="5" t="s">
        <v>17</v>
      </c>
    </row>
    <row r="10" ht="21.75" customHeight="1">
      <c r="A10" s="7" t="s">
        <v>18</v>
      </c>
      <c r="B10" s="6">
        <f t="shared" si="1"/>
        <v>6</v>
      </c>
      <c r="C10" s="7" t="s">
        <v>19</v>
      </c>
    </row>
    <row r="11" ht="21.75" customHeight="1">
      <c r="A11" s="5" t="s">
        <v>20</v>
      </c>
      <c r="B11" s="6">
        <f t="shared" si="1"/>
        <v>9</v>
      </c>
      <c r="C11" s="5" t="s">
        <v>21</v>
      </c>
    </row>
    <row r="12" ht="21.75" customHeight="1">
      <c r="A12" s="7" t="s">
        <v>22</v>
      </c>
      <c r="B12" s="6">
        <f t="shared" si="1"/>
        <v>11</v>
      </c>
      <c r="C12" s="7" t="s">
        <v>23</v>
      </c>
    </row>
    <row r="13" ht="21.75" customHeight="1">
      <c r="A13" s="5" t="s">
        <v>24</v>
      </c>
      <c r="B13" s="6">
        <f t="shared" si="1"/>
        <v>5</v>
      </c>
      <c r="C13" s="5" t="s">
        <v>25</v>
      </c>
    </row>
    <row r="14" ht="21.75" customHeight="1">
      <c r="A14" s="7" t="s">
        <v>26</v>
      </c>
      <c r="B14" s="6">
        <f t="shared" si="1"/>
        <v>7</v>
      </c>
      <c r="C14" s="7" t="s">
        <v>27</v>
      </c>
    </row>
    <row r="15" ht="21.75" customHeight="1">
      <c r="A15" s="5" t="s">
        <v>28</v>
      </c>
      <c r="B15" s="6">
        <f t="shared" si="1"/>
        <v>8</v>
      </c>
      <c r="C15" s="5" t="s">
        <v>29</v>
      </c>
    </row>
    <row r="16" ht="21.75" customHeight="1">
      <c r="A16" s="7" t="s">
        <v>30</v>
      </c>
      <c r="B16" s="6">
        <f t="shared" si="1"/>
        <v>5</v>
      </c>
      <c r="C16" s="7" t="s">
        <v>31</v>
      </c>
    </row>
    <row r="17" ht="24.75" customHeight="1">
      <c r="A17" s="8" t="s">
        <v>32</v>
      </c>
      <c r="B17" s="8">
        <f>SUM(B2:B16)</f>
        <v>120</v>
      </c>
      <c r="C17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DB7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5.0"/>
    <col customWidth="1" min="4" max="4" width="40.0"/>
    <col customWidth="1" min="5" max="5" width="35.0"/>
    <col customWidth="1" min="6" max="6" width="55.0"/>
    <col customWidth="1" min="7" max="7" width="30.0"/>
    <col customWidth="1" min="8" max="8" width="40.0"/>
    <col customWidth="1" min="9" max="9" width="30.0"/>
    <col customWidth="1" min="10" max="10" width="14.86"/>
    <col customWidth="1" min="11" max="11" width="15.14"/>
    <col customWidth="1" min="12" max="12" width="14.86"/>
    <col customWidth="1" min="13" max="13" width="25.0"/>
    <col customWidth="1" min="14" max="26" width="8.71"/>
  </cols>
  <sheetData>
    <row r="1" ht="30.0" customHeight="1">
      <c r="A1" s="9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ht="19.5" customHeight="1">
      <c r="A3" s="11" t="s">
        <v>34</v>
      </c>
      <c r="B3" s="11" t="s">
        <v>35</v>
      </c>
      <c r="C3" s="11" t="s">
        <v>36</v>
      </c>
      <c r="D3" s="11" t="s">
        <v>37</v>
      </c>
      <c r="E3" s="11" t="s">
        <v>38</v>
      </c>
      <c r="F3" s="11" t="s">
        <v>39</v>
      </c>
      <c r="G3" s="11" t="s">
        <v>40</v>
      </c>
      <c r="H3" s="11" t="s">
        <v>41</v>
      </c>
      <c r="I3" s="11" t="s">
        <v>42</v>
      </c>
      <c r="J3" s="11" t="s">
        <v>43</v>
      </c>
      <c r="K3" s="11" t="s">
        <v>44</v>
      </c>
      <c r="L3" s="11" t="s">
        <v>45</v>
      </c>
      <c r="M3" s="11" t="s">
        <v>46</v>
      </c>
    </row>
    <row r="4" ht="54.75" customHeight="1">
      <c r="A4" s="12" t="s">
        <v>47</v>
      </c>
      <c r="B4" s="13" t="s">
        <v>48</v>
      </c>
      <c r="C4" s="13" t="s">
        <v>49</v>
      </c>
      <c r="D4" s="13" t="s">
        <v>50</v>
      </c>
      <c r="E4" s="13" t="s">
        <v>51</v>
      </c>
      <c r="F4" s="13" t="s">
        <v>52</v>
      </c>
      <c r="G4" s="13" t="s">
        <v>53</v>
      </c>
      <c r="H4" s="13" t="s">
        <v>54</v>
      </c>
      <c r="I4" s="13"/>
      <c r="J4" s="14" t="s">
        <v>55</v>
      </c>
      <c r="K4" s="14" t="s">
        <v>56</v>
      </c>
      <c r="L4" s="14" t="s">
        <v>57</v>
      </c>
      <c r="M4" s="13"/>
    </row>
    <row r="5" ht="54.75" customHeight="1">
      <c r="A5" s="12" t="s">
        <v>58</v>
      </c>
      <c r="B5" s="13" t="s">
        <v>48</v>
      </c>
      <c r="C5" s="13" t="s">
        <v>59</v>
      </c>
      <c r="D5" s="13" t="s">
        <v>60</v>
      </c>
      <c r="E5" s="13" t="s">
        <v>61</v>
      </c>
      <c r="F5" s="13" t="s">
        <v>62</v>
      </c>
      <c r="G5" s="13" t="s">
        <v>63</v>
      </c>
      <c r="H5" s="13" t="s">
        <v>64</v>
      </c>
      <c r="I5" s="13"/>
      <c r="J5" s="14" t="s">
        <v>55</v>
      </c>
      <c r="K5" s="14" t="s">
        <v>56</v>
      </c>
      <c r="L5" s="14" t="s">
        <v>57</v>
      </c>
      <c r="M5" s="13" t="s">
        <v>65</v>
      </c>
    </row>
    <row r="6" ht="54.75" customHeight="1">
      <c r="A6" s="12" t="s">
        <v>66</v>
      </c>
      <c r="B6" s="13" t="s">
        <v>48</v>
      </c>
      <c r="C6" s="13" t="s">
        <v>67</v>
      </c>
      <c r="D6" s="13" t="s">
        <v>68</v>
      </c>
      <c r="E6" s="13" t="s">
        <v>69</v>
      </c>
      <c r="F6" s="13" t="s">
        <v>70</v>
      </c>
      <c r="G6" s="13" t="s">
        <v>71</v>
      </c>
      <c r="H6" s="13" t="s">
        <v>72</v>
      </c>
      <c r="I6" s="13"/>
      <c r="J6" s="14" t="s">
        <v>55</v>
      </c>
      <c r="K6" s="14" t="s">
        <v>56</v>
      </c>
      <c r="L6" s="14" t="s">
        <v>57</v>
      </c>
      <c r="M6" s="13"/>
    </row>
    <row r="7" ht="54.75" customHeight="1">
      <c r="A7" s="12" t="s">
        <v>73</v>
      </c>
      <c r="B7" s="13" t="s">
        <v>48</v>
      </c>
      <c r="C7" s="13" t="s">
        <v>74</v>
      </c>
      <c r="D7" s="13" t="s">
        <v>75</v>
      </c>
      <c r="E7" s="13" t="s">
        <v>76</v>
      </c>
      <c r="F7" s="13" t="s">
        <v>77</v>
      </c>
      <c r="G7" s="13" t="s">
        <v>78</v>
      </c>
      <c r="H7" s="13" t="s">
        <v>79</v>
      </c>
      <c r="I7" s="13"/>
      <c r="J7" s="14" t="s">
        <v>55</v>
      </c>
      <c r="K7" s="14" t="s">
        <v>56</v>
      </c>
      <c r="L7" s="14" t="s">
        <v>57</v>
      </c>
      <c r="M7" s="13"/>
    </row>
    <row r="8" ht="54.75" customHeight="1">
      <c r="A8" s="12" t="s">
        <v>80</v>
      </c>
      <c r="B8" s="13" t="s">
        <v>48</v>
      </c>
      <c r="C8" s="13" t="s">
        <v>81</v>
      </c>
      <c r="D8" s="13" t="s">
        <v>82</v>
      </c>
      <c r="E8" s="13" t="s">
        <v>83</v>
      </c>
      <c r="F8" s="13" t="s">
        <v>84</v>
      </c>
      <c r="G8" s="13" t="s">
        <v>85</v>
      </c>
      <c r="H8" s="13" t="s">
        <v>86</v>
      </c>
      <c r="I8" s="13"/>
      <c r="J8" s="14" t="s">
        <v>55</v>
      </c>
      <c r="K8" s="14" t="s">
        <v>56</v>
      </c>
      <c r="L8" s="14" t="s">
        <v>57</v>
      </c>
      <c r="M8" s="13"/>
    </row>
    <row r="9" ht="54.75" customHeight="1">
      <c r="A9" s="12" t="s">
        <v>87</v>
      </c>
      <c r="B9" s="13" t="s">
        <v>48</v>
      </c>
      <c r="C9" s="13" t="s">
        <v>88</v>
      </c>
      <c r="D9" s="13" t="s">
        <v>89</v>
      </c>
      <c r="E9" s="13" t="s">
        <v>90</v>
      </c>
      <c r="F9" s="13" t="s">
        <v>91</v>
      </c>
      <c r="G9" s="13" t="s">
        <v>92</v>
      </c>
      <c r="H9" s="13" t="s">
        <v>93</v>
      </c>
      <c r="I9" s="13"/>
      <c r="J9" s="15" t="s">
        <v>94</v>
      </c>
      <c r="K9" s="14" t="s">
        <v>56</v>
      </c>
      <c r="L9" s="14" t="s">
        <v>57</v>
      </c>
      <c r="M9" s="13"/>
    </row>
    <row r="10" ht="54.75" customHeight="1">
      <c r="A10" s="16" t="s">
        <v>95</v>
      </c>
      <c r="B10" s="17" t="s">
        <v>48</v>
      </c>
      <c r="C10" s="17" t="s">
        <v>96</v>
      </c>
      <c r="D10" s="17" t="s">
        <v>97</v>
      </c>
      <c r="E10" s="17" t="s">
        <v>69</v>
      </c>
      <c r="F10" s="17" t="s">
        <v>98</v>
      </c>
      <c r="G10" s="17" t="s">
        <v>99</v>
      </c>
      <c r="H10" s="17" t="s">
        <v>100</v>
      </c>
      <c r="I10" s="17"/>
      <c r="J10" s="18" t="s">
        <v>55</v>
      </c>
      <c r="K10" s="18" t="s">
        <v>101</v>
      </c>
      <c r="L10" s="18" t="s">
        <v>57</v>
      </c>
      <c r="M10" s="17"/>
    </row>
    <row r="11" ht="54.75" customHeight="1">
      <c r="A11" s="12" t="s">
        <v>102</v>
      </c>
      <c r="B11" s="13" t="s">
        <v>103</v>
      </c>
      <c r="C11" s="13" t="s">
        <v>104</v>
      </c>
      <c r="D11" s="13" t="s">
        <v>105</v>
      </c>
      <c r="E11" s="13" t="s">
        <v>106</v>
      </c>
      <c r="F11" s="13" t="s">
        <v>107</v>
      </c>
      <c r="G11" s="13" t="s">
        <v>108</v>
      </c>
      <c r="H11" s="13" t="s">
        <v>109</v>
      </c>
      <c r="I11" s="13"/>
      <c r="J11" s="14" t="s">
        <v>55</v>
      </c>
      <c r="K11" s="14" t="s">
        <v>56</v>
      </c>
      <c r="L11" s="14" t="s">
        <v>57</v>
      </c>
      <c r="M11" s="13"/>
    </row>
    <row r="12" ht="54.75" customHeight="1">
      <c r="A12" s="12" t="s">
        <v>110</v>
      </c>
      <c r="B12" s="13" t="s">
        <v>111</v>
      </c>
      <c r="C12" s="13" t="s">
        <v>112</v>
      </c>
      <c r="D12" s="13" t="s">
        <v>113</v>
      </c>
      <c r="E12" s="13" t="s">
        <v>114</v>
      </c>
      <c r="F12" s="13" t="s">
        <v>115</v>
      </c>
      <c r="G12" s="13" t="s">
        <v>116</v>
      </c>
      <c r="H12" s="13" t="s">
        <v>117</v>
      </c>
      <c r="I12" s="13"/>
      <c r="J12" s="15" t="s">
        <v>118</v>
      </c>
      <c r="K12" s="14" t="s">
        <v>56</v>
      </c>
      <c r="L12" s="14" t="s">
        <v>119</v>
      </c>
      <c r="M12" s="13"/>
    </row>
    <row r="13" ht="54.75" customHeight="1">
      <c r="A13" s="12" t="s">
        <v>120</v>
      </c>
      <c r="B13" s="13" t="s">
        <v>121</v>
      </c>
      <c r="C13" s="13" t="s">
        <v>122</v>
      </c>
      <c r="D13" s="13" t="s">
        <v>123</v>
      </c>
      <c r="E13" s="13" t="s">
        <v>124</v>
      </c>
      <c r="F13" s="13" t="s">
        <v>125</v>
      </c>
      <c r="G13" s="13" t="s">
        <v>126</v>
      </c>
      <c r="H13" s="13" t="s">
        <v>127</v>
      </c>
      <c r="I13" s="13"/>
      <c r="J13" s="14" t="s">
        <v>55</v>
      </c>
      <c r="K13" s="14" t="s">
        <v>56</v>
      </c>
      <c r="L13" s="14" t="s">
        <v>119</v>
      </c>
      <c r="M13" s="13"/>
    </row>
    <row r="14" ht="54.75" customHeight="1">
      <c r="A14" s="12" t="s">
        <v>128</v>
      </c>
      <c r="B14" s="13" t="s">
        <v>129</v>
      </c>
      <c r="C14" s="13" t="s">
        <v>130</v>
      </c>
      <c r="D14" s="13" t="s">
        <v>131</v>
      </c>
      <c r="E14" s="13" t="s">
        <v>132</v>
      </c>
      <c r="F14" s="13" t="s">
        <v>133</v>
      </c>
      <c r="G14" s="13" t="s">
        <v>134</v>
      </c>
      <c r="H14" s="13" t="s">
        <v>135</v>
      </c>
      <c r="I14" s="13"/>
      <c r="J14" s="14" t="s">
        <v>55</v>
      </c>
      <c r="K14" s="14" t="s">
        <v>56</v>
      </c>
      <c r="L14" s="14" t="s">
        <v>119</v>
      </c>
      <c r="M14" s="1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M1"/>
  </mergeCells>
  <dataValidations>
    <dataValidation type="list" allowBlank="1" showErrorMessage="1" sqref="J4:J14">
      <formula1>"À tester,Échoué,Validé"</formula1>
    </dataValidation>
    <dataValidation type="list" allowBlank="1" showErrorMessage="1" sqref="L4:L14">
      <formula1>"PUBLIC,USER"</formula1>
    </dataValidation>
    <dataValidation type="list" allowBlank="1" showErrorMessage="1" sqref="K4:K14">
      <formula1>"Haute,Moyenne"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3AED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5.0"/>
    <col customWidth="1" min="4" max="4" width="40.14"/>
    <col customWidth="1" min="5" max="5" width="35.0"/>
    <col customWidth="1" min="6" max="6" width="55.0"/>
    <col customWidth="1" min="7" max="7" width="30.0"/>
    <col customWidth="1" min="8" max="8" width="40.0"/>
    <col customWidth="1" min="9" max="9" width="30.0"/>
    <col customWidth="1" min="10" max="10" width="14.86"/>
    <col customWidth="1" min="11" max="11" width="15.14"/>
    <col customWidth="1" min="12" max="12" width="14.86"/>
    <col customWidth="1" min="13" max="13" width="25.0"/>
    <col customWidth="1" min="14" max="26" width="8.71"/>
  </cols>
  <sheetData>
    <row r="1" ht="30.0" customHeight="1">
      <c r="A1" s="9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ht="19.5" customHeight="1">
      <c r="A3" s="11" t="s">
        <v>34</v>
      </c>
      <c r="B3" s="11" t="s">
        <v>35</v>
      </c>
      <c r="C3" s="11" t="s">
        <v>36</v>
      </c>
      <c r="D3" s="11" t="s">
        <v>37</v>
      </c>
      <c r="E3" s="11" t="s">
        <v>38</v>
      </c>
      <c r="F3" s="11" t="s">
        <v>39</v>
      </c>
      <c r="G3" s="11" t="s">
        <v>40</v>
      </c>
      <c r="H3" s="11" t="s">
        <v>41</v>
      </c>
      <c r="I3" s="11" t="s">
        <v>42</v>
      </c>
      <c r="J3" s="11" t="s">
        <v>43</v>
      </c>
      <c r="K3" s="11" t="s">
        <v>44</v>
      </c>
      <c r="L3" s="11" t="s">
        <v>45</v>
      </c>
      <c r="M3" s="11" t="s">
        <v>46</v>
      </c>
    </row>
    <row r="4" ht="54.75" customHeight="1">
      <c r="A4" s="12" t="s">
        <v>137</v>
      </c>
      <c r="B4" s="13" t="s">
        <v>6</v>
      </c>
      <c r="C4" s="13" t="s">
        <v>138</v>
      </c>
      <c r="D4" s="13" t="s">
        <v>139</v>
      </c>
      <c r="E4" s="13" t="s">
        <v>140</v>
      </c>
      <c r="F4" s="13" t="s">
        <v>141</v>
      </c>
      <c r="G4" s="13" t="s">
        <v>142</v>
      </c>
      <c r="H4" s="13" t="s">
        <v>143</v>
      </c>
      <c r="I4" s="13"/>
      <c r="J4" s="15" t="s">
        <v>55</v>
      </c>
      <c r="K4" s="14" t="s">
        <v>56</v>
      </c>
      <c r="L4" s="15" t="s">
        <v>57</v>
      </c>
      <c r="M4" s="13"/>
    </row>
    <row r="5" ht="54.75" customHeight="1">
      <c r="A5" s="12" t="s">
        <v>144</v>
      </c>
      <c r="B5" s="13" t="s">
        <v>6</v>
      </c>
      <c r="C5" s="13" t="s">
        <v>145</v>
      </c>
      <c r="D5" s="13" t="s">
        <v>146</v>
      </c>
      <c r="E5" s="13" t="s">
        <v>147</v>
      </c>
      <c r="F5" s="13" t="s">
        <v>148</v>
      </c>
      <c r="G5" s="13" t="s">
        <v>149</v>
      </c>
      <c r="H5" s="13" t="s">
        <v>150</v>
      </c>
      <c r="I5" s="13"/>
      <c r="J5" s="15" t="s">
        <v>55</v>
      </c>
      <c r="K5" s="14" t="s">
        <v>56</v>
      </c>
      <c r="L5" s="15" t="s">
        <v>57</v>
      </c>
      <c r="M5" s="13"/>
    </row>
    <row r="6" ht="54.75" customHeight="1">
      <c r="A6" s="12" t="s">
        <v>151</v>
      </c>
      <c r="B6" s="13" t="s">
        <v>6</v>
      </c>
      <c r="C6" s="13" t="s">
        <v>152</v>
      </c>
      <c r="D6" s="13" t="s">
        <v>153</v>
      </c>
      <c r="E6" s="13" t="s">
        <v>147</v>
      </c>
      <c r="F6" s="13" t="s">
        <v>154</v>
      </c>
      <c r="G6" s="13" t="s">
        <v>155</v>
      </c>
      <c r="H6" s="13" t="s">
        <v>156</v>
      </c>
      <c r="I6" s="13"/>
      <c r="J6" s="15" t="s">
        <v>55</v>
      </c>
      <c r="K6" s="14" t="s">
        <v>56</v>
      </c>
      <c r="L6" s="15" t="s">
        <v>57</v>
      </c>
      <c r="M6" s="13"/>
    </row>
    <row r="7" ht="54.75" customHeight="1">
      <c r="A7" s="16" t="s">
        <v>157</v>
      </c>
      <c r="B7" s="17" t="s">
        <v>6</v>
      </c>
      <c r="C7" s="17" t="s">
        <v>158</v>
      </c>
      <c r="D7" s="17" t="s">
        <v>159</v>
      </c>
      <c r="E7" s="17" t="s">
        <v>147</v>
      </c>
      <c r="F7" s="17" t="s">
        <v>160</v>
      </c>
      <c r="G7" s="17" t="s">
        <v>161</v>
      </c>
      <c r="H7" s="17" t="s">
        <v>162</v>
      </c>
      <c r="I7" s="17"/>
      <c r="J7" s="15" t="s">
        <v>55</v>
      </c>
      <c r="K7" s="15" t="s">
        <v>101</v>
      </c>
      <c r="L7" s="15" t="s">
        <v>57</v>
      </c>
      <c r="M7" s="17"/>
    </row>
    <row r="8" ht="54.75" customHeight="1">
      <c r="A8" s="16" t="s">
        <v>163</v>
      </c>
      <c r="B8" s="17" t="s">
        <v>6</v>
      </c>
      <c r="C8" s="17" t="s">
        <v>164</v>
      </c>
      <c r="D8" s="17" t="s">
        <v>165</v>
      </c>
      <c r="E8" s="17" t="s">
        <v>166</v>
      </c>
      <c r="F8" s="17" t="s">
        <v>167</v>
      </c>
      <c r="G8" s="17" t="s">
        <v>116</v>
      </c>
      <c r="H8" s="17" t="s">
        <v>168</v>
      </c>
      <c r="I8" s="17"/>
      <c r="J8" s="15" t="s">
        <v>55</v>
      </c>
      <c r="K8" s="15" t="s">
        <v>101</v>
      </c>
      <c r="L8" s="14" t="s">
        <v>119</v>
      </c>
      <c r="M8" s="1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M1"/>
  </mergeCells>
  <dataValidations>
    <dataValidation type="list" allowBlank="1" showErrorMessage="1" sqref="J4:J8">
      <formula1>"À tester,Échoué,Validé"</formula1>
    </dataValidation>
    <dataValidation type="list" allowBlank="1" showErrorMessage="1" sqref="K4:K8">
      <formula1>"Haute,Moyenne,Faible"</formula1>
    </dataValidation>
    <dataValidation type="list" allowBlank="1" showErrorMessage="1" sqref="L4:L8">
      <formula1>"PUBLIC,USER"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369A1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5.0"/>
    <col customWidth="1" min="4" max="4" width="40.14"/>
    <col customWidth="1" min="5" max="5" width="35.0"/>
    <col customWidth="1" min="6" max="6" width="55.0"/>
    <col customWidth="1" min="7" max="7" width="30.0"/>
    <col customWidth="1" min="8" max="8" width="40.0"/>
    <col customWidth="1" min="9" max="9" width="30.0"/>
    <col customWidth="1" min="10" max="10" width="14.86"/>
    <col customWidth="1" min="11" max="11" width="15.14"/>
    <col customWidth="1" min="12" max="12" width="14.86"/>
    <col customWidth="1" min="13" max="13" width="25.0"/>
    <col customWidth="1" min="14" max="26" width="8.71"/>
  </cols>
  <sheetData>
    <row r="1" ht="30.0" customHeight="1">
      <c r="A1" s="9" t="s">
        <v>169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ht="19.5" customHeight="1">
      <c r="A3" s="11" t="s">
        <v>34</v>
      </c>
      <c r="B3" s="11" t="s">
        <v>35</v>
      </c>
      <c r="C3" s="11" t="s">
        <v>36</v>
      </c>
      <c r="D3" s="11" t="s">
        <v>37</v>
      </c>
      <c r="E3" s="11" t="s">
        <v>38</v>
      </c>
      <c r="F3" s="11" t="s">
        <v>39</v>
      </c>
      <c r="G3" s="11" t="s">
        <v>40</v>
      </c>
      <c r="H3" s="11" t="s">
        <v>41</v>
      </c>
      <c r="I3" s="11" t="s">
        <v>42</v>
      </c>
      <c r="J3" s="11" t="s">
        <v>43</v>
      </c>
      <c r="K3" s="11" t="s">
        <v>44</v>
      </c>
      <c r="L3" s="11" t="s">
        <v>45</v>
      </c>
      <c r="M3" s="11" t="s">
        <v>46</v>
      </c>
    </row>
    <row r="4" ht="54.75" customHeight="1">
      <c r="A4" s="12" t="s">
        <v>170</v>
      </c>
      <c r="B4" s="13" t="s">
        <v>8</v>
      </c>
      <c r="C4" s="13" t="s">
        <v>171</v>
      </c>
      <c r="D4" s="13" t="s">
        <v>172</v>
      </c>
      <c r="E4" s="13" t="s">
        <v>132</v>
      </c>
      <c r="F4" s="13" t="s">
        <v>173</v>
      </c>
      <c r="G4" s="13" t="s">
        <v>116</v>
      </c>
      <c r="H4" s="13" t="s">
        <v>174</v>
      </c>
      <c r="I4" s="13"/>
      <c r="J4" s="15" t="s">
        <v>55</v>
      </c>
      <c r="K4" s="14" t="s">
        <v>56</v>
      </c>
      <c r="L4" s="14" t="s">
        <v>119</v>
      </c>
      <c r="M4" s="13"/>
    </row>
    <row r="5" ht="54.75" customHeight="1">
      <c r="A5" s="12" t="s">
        <v>175</v>
      </c>
      <c r="B5" s="13" t="s">
        <v>8</v>
      </c>
      <c r="C5" s="13" t="s">
        <v>176</v>
      </c>
      <c r="D5" s="13" t="s">
        <v>177</v>
      </c>
      <c r="E5" s="13" t="s">
        <v>178</v>
      </c>
      <c r="F5" s="13" t="s">
        <v>179</v>
      </c>
      <c r="G5" s="13" t="s">
        <v>116</v>
      </c>
      <c r="H5" s="13" t="s">
        <v>180</v>
      </c>
      <c r="I5" s="13"/>
      <c r="J5" s="15" t="s">
        <v>55</v>
      </c>
      <c r="K5" s="14" t="s">
        <v>56</v>
      </c>
      <c r="L5" s="15" t="s">
        <v>181</v>
      </c>
      <c r="M5" s="13"/>
    </row>
    <row r="6" ht="54.75" customHeight="1">
      <c r="A6" s="12" t="s">
        <v>182</v>
      </c>
      <c r="B6" s="13" t="s">
        <v>8</v>
      </c>
      <c r="C6" s="13" t="s">
        <v>183</v>
      </c>
      <c r="D6" s="13" t="s">
        <v>184</v>
      </c>
      <c r="E6" s="13" t="s">
        <v>132</v>
      </c>
      <c r="F6" s="13" t="s">
        <v>185</v>
      </c>
      <c r="G6" s="13" t="s">
        <v>116</v>
      </c>
      <c r="H6" s="13" t="s">
        <v>186</v>
      </c>
      <c r="I6" s="13"/>
      <c r="J6" s="15" t="s">
        <v>55</v>
      </c>
      <c r="K6" s="14" t="s">
        <v>56</v>
      </c>
      <c r="L6" s="14" t="s">
        <v>119</v>
      </c>
      <c r="M6" s="13"/>
    </row>
    <row r="7" ht="54.75" customHeight="1">
      <c r="A7" s="16" t="s">
        <v>187</v>
      </c>
      <c r="B7" s="17" t="s">
        <v>28</v>
      </c>
      <c r="C7" s="17" t="s">
        <v>188</v>
      </c>
      <c r="D7" s="17" t="s">
        <v>189</v>
      </c>
      <c r="E7" s="17" t="s">
        <v>190</v>
      </c>
      <c r="F7" s="17" t="s">
        <v>191</v>
      </c>
      <c r="G7" s="17" t="s">
        <v>116</v>
      </c>
      <c r="H7" s="17" t="s">
        <v>192</v>
      </c>
      <c r="I7" s="17"/>
      <c r="J7" s="15" t="s">
        <v>55</v>
      </c>
      <c r="K7" s="15" t="s">
        <v>101</v>
      </c>
      <c r="L7" s="14" t="s">
        <v>119</v>
      </c>
      <c r="M7" s="17"/>
    </row>
    <row r="8" ht="54.75" customHeight="1">
      <c r="A8" s="16" t="s">
        <v>193</v>
      </c>
      <c r="B8" s="17" t="s">
        <v>28</v>
      </c>
      <c r="C8" s="17" t="s">
        <v>194</v>
      </c>
      <c r="D8" s="17" t="s">
        <v>195</v>
      </c>
      <c r="E8" s="17" t="s">
        <v>196</v>
      </c>
      <c r="F8" s="17" t="s">
        <v>197</v>
      </c>
      <c r="G8" s="17" t="s">
        <v>116</v>
      </c>
      <c r="H8" s="17" t="s">
        <v>198</v>
      </c>
      <c r="I8" s="17"/>
      <c r="J8" s="15" t="s">
        <v>55</v>
      </c>
      <c r="K8" s="15" t="s">
        <v>101</v>
      </c>
      <c r="L8" s="14" t="s">
        <v>119</v>
      </c>
      <c r="M8" s="17"/>
    </row>
    <row r="9" ht="54.75" customHeight="1">
      <c r="A9" s="16" t="s">
        <v>199</v>
      </c>
      <c r="B9" s="17" t="s">
        <v>28</v>
      </c>
      <c r="C9" s="17" t="s">
        <v>200</v>
      </c>
      <c r="D9" s="17" t="s">
        <v>201</v>
      </c>
      <c r="E9" s="17" t="s">
        <v>196</v>
      </c>
      <c r="F9" s="17" t="s">
        <v>202</v>
      </c>
      <c r="G9" s="17" t="s">
        <v>116</v>
      </c>
      <c r="H9" s="17" t="s">
        <v>203</v>
      </c>
      <c r="I9" s="17"/>
      <c r="J9" s="15" t="s">
        <v>55</v>
      </c>
      <c r="K9" s="15" t="s">
        <v>101</v>
      </c>
      <c r="L9" s="15" t="s">
        <v>119</v>
      </c>
      <c r="M9" s="17"/>
    </row>
    <row r="11">
      <c r="J11" s="15" t="s">
        <v>118</v>
      </c>
      <c r="K11" s="14" t="s">
        <v>56</v>
      </c>
      <c r="L11" s="14" t="s">
        <v>119</v>
      </c>
    </row>
    <row r="12">
      <c r="J12" s="15" t="s">
        <v>94</v>
      </c>
      <c r="K12" s="15" t="s">
        <v>101</v>
      </c>
      <c r="L12" s="15" t="s">
        <v>57</v>
      </c>
    </row>
    <row r="13">
      <c r="J13" s="15" t="s">
        <v>55</v>
      </c>
      <c r="K13" s="15" t="s">
        <v>204</v>
      </c>
      <c r="L13" s="15" t="s">
        <v>181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M1"/>
  </mergeCells>
  <dataValidations>
    <dataValidation type="list" allowBlank="1" showErrorMessage="1" sqref="J11:J13">
      <formula1>"À tester,Échoué,Validé"</formula1>
    </dataValidation>
    <dataValidation type="list" allowBlank="1" showErrorMessage="1" sqref="L11:L13">
      <formula1>"PUBLIC,USER,ADMIN"</formula1>
    </dataValidation>
    <dataValidation type="list" allowBlank="1" showErrorMessage="1" sqref="J4:J9">
      <formula1>"À tester,Échoué,Validé"</formula1>
    </dataValidation>
    <dataValidation type="list" allowBlank="1" showErrorMessage="1" sqref="K4:K9">
      <formula1>"Haute,Moyenne,Faible"</formula1>
    </dataValidation>
    <dataValidation type="list" allowBlank="1" showErrorMessage="1" sqref="K11:K13">
      <formula1>"Haute,Moyenne,Faible"</formula1>
    </dataValidation>
    <dataValidation type="list" allowBlank="1" showErrorMessage="1" sqref="L4:L9">
      <formula1>"PUBLIC,USER,ADMIN"</formula1>
    </dataValidation>
  </dataValidation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91B2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5.0"/>
    <col customWidth="1" min="4" max="4" width="40.0"/>
    <col customWidth="1" min="5" max="5" width="35.0"/>
    <col customWidth="1" min="6" max="6" width="55.0"/>
    <col customWidth="1" min="7" max="7" width="30.0"/>
    <col customWidth="1" min="8" max="8" width="40.14"/>
    <col customWidth="1" min="9" max="9" width="30.0"/>
    <col customWidth="1" min="10" max="10" width="14.86"/>
    <col customWidth="1" min="11" max="11" width="15.14"/>
    <col customWidth="1" min="12" max="12" width="14.86"/>
    <col customWidth="1" min="13" max="13" width="25.0"/>
    <col customWidth="1" min="14" max="26" width="8.71"/>
  </cols>
  <sheetData>
    <row r="1" ht="30.0" customHeight="1">
      <c r="A1" s="9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ht="19.5" customHeight="1">
      <c r="A3" s="11" t="s">
        <v>34</v>
      </c>
      <c r="B3" s="11" t="s">
        <v>35</v>
      </c>
      <c r="C3" s="11" t="s">
        <v>36</v>
      </c>
      <c r="D3" s="11" t="s">
        <v>37</v>
      </c>
      <c r="E3" s="11" t="s">
        <v>38</v>
      </c>
      <c r="F3" s="11" t="s">
        <v>39</v>
      </c>
      <c r="G3" s="11" t="s">
        <v>40</v>
      </c>
      <c r="H3" s="11" t="s">
        <v>41</v>
      </c>
      <c r="I3" s="11" t="s">
        <v>42</v>
      </c>
      <c r="J3" s="11" t="s">
        <v>43</v>
      </c>
      <c r="K3" s="11" t="s">
        <v>44</v>
      </c>
      <c r="L3" s="11" t="s">
        <v>45</v>
      </c>
      <c r="M3" s="11" t="s">
        <v>46</v>
      </c>
    </row>
    <row r="4" ht="54.75" customHeight="1">
      <c r="A4" s="12" t="s">
        <v>206</v>
      </c>
      <c r="B4" s="13" t="s">
        <v>10</v>
      </c>
      <c r="C4" s="13" t="s">
        <v>207</v>
      </c>
      <c r="D4" s="13" t="s">
        <v>208</v>
      </c>
      <c r="E4" s="13" t="s">
        <v>190</v>
      </c>
      <c r="F4" s="13" t="s">
        <v>209</v>
      </c>
      <c r="G4" s="13" t="s">
        <v>116</v>
      </c>
      <c r="H4" s="13" t="s">
        <v>210</v>
      </c>
      <c r="I4" s="13"/>
      <c r="J4" s="15" t="s">
        <v>55</v>
      </c>
      <c r="K4" s="14" t="s">
        <v>56</v>
      </c>
      <c r="L4" s="14" t="s">
        <v>119</v>
      </c>
      <c r="M4" s="13"/>
    </row>
    <row r="5" ht="54.75" customHeight="1">
      <c r="A5" s="12" t="s">
        <v>211</v>
      </c>
      <c r="B5" s="13" t="s">
        <v>10</v>
      </c>
      <c r="C5" s="13" t="s">
        <v>212</v>
      </c>
      <c r="D5" s="13" t="s">
        <v>213</v>
      </c>
      <c r="E5" s="13" t="s">
        <v>190</v>
      </c>
      <c r="F5" s="13" t="s">
        <v>214</v>
      </c>
      <c r="G5" s="13" t="s">
        <v>116</v>
      </c>
      <c r="H5" s="13" t="s">
        <v>215</v>
      </c>
      <c r="I5" s="13"/>
      <c r="J5" s="15" t="s">
        <v>55</v>
      </c>
      <c r="K5" s="14" t="s">
        <v>56</v>
      </c>
      <c r="L5" s="14" t="s">
        <v>119</v>
      </c>
      <c r="M5" s="13"/>
    </row>
    <row r="6" ht="54.75" customHeight="1">
      <c r="A6" s="12" t="s">
        <v>216</v>
      </c>
      <c r="B6" s="13" t="s">
        <v>10</v>
      </c>
      <c r="C6" s="13" t="s">
        <v>217</v>
      </c>
      <c r="D6" s="13" t="s">
        <v>218</v>
      </c>
      <c r="E6" s="13" t="s">
        <v>178</v>
      </c>
      <c r="F6" s="13" t="s">
        <v>219</v>
      </c>
      <c r="G6" s="13" t="s">
        <v>116</v>
      </c>
      <c r="H6" s="13" t="s">
        <v>220</v>
      </c>
      <c r="I6" s="13"/>
      <c r="J6" s="15" t="s">
        <v>55</v>
      </c>
      <c r="K6" s="14" t="s">
        <v>56</v>
      </c>
      <c r="L6" s="15" t="s">
        <v>181</v>
      </c>
      <c r="M6" s="13"/>
    </row>
    <row r="7" ht="54.75" customHeight="1">
      <c r="A7" s="12" t="s">
        <v>221</v>
      </c>
      <c r="B7" s="13" t="s">
        <v>10</v>
      </c>
      <c r="C7" s="13" t="s">
        <v>222</v>
      </c>
      <c r="D7" s="13" t="s">
        <v>223</v>
      </c>
      <c r="E7" s="13" t="s">
        <v>132</v>
      </c>
      <c r="F7" s="13" t="s">
        <v>219</v>
      </c>
      <c r="G7" s="13" t="s">
        <v>116</v>
      </c>
      <c r="H7" s="13" t="s">
        <v>224</v>
      </c>
      <c r="I7" s="13"/>
      <c r="J7" s="15" t="s">
        <v>55</v>
      </c>
      <c r="K7" s="14" t="s">
        <v>56</v>
      </c>
      <c r="L7" s="14" t="s">
        <v>119</v>
      </c>
      <c r="M7" s="13"/>
    </row>
    <row r="8" ht="54.75" customHeight="1">
      <c r="A8" s="19" t="s">
        <v>225</v>
      </c>
      <c r="B8" s="20" t="s">
        <v>10</v>
      </c>
      <c r="C8" s="20" t="s">
        <v>226</v>
      </c>
      <c r="D8" s="20" t="s">
        <v>227</v>
      </c>
      <c r="E8" s="20" t="s">
        <v>228</v>
      </c>
      <c r="F8" s="20" t="s">
        <v>219</v>
      </c>
      <c r="G8" s="20" t="s">
        <v>116</v>
      </c>
      <c r="H8" s="20" t="s">
        <v>229</v>
      </c>
      <c r="I8" s="20"/>
      <c r="J8" s="15" t="s">
        <v>55</v>
      </c>
      <c r="K8" s="15" t="s">
        <v>204</v>
      </c>
      <c r="L8" s="14" t="s">
        <v>119</v>
      </c>
      <c r="M8" s="2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M1"/>
  </mergeCells>
  <dataValidations>
    <dataValidation type="list" allowBlank="1" showErrorMessage="1" sqref="J4:J8">
      <formula1>"À tester,Échoué,Validé"</formula1>
    </dataValidation>
    <dataValidation type="list" allowBlank="1" showErrorMessage="1" sqref="K4:K8">
      <formula1>"Haute,Moyenne,Faible"</formula1>
    </dataValidation>
    <dataValidation type="list" allowBlank="1" showErrorMessage="1" sqref="L4:L8">
      <formula1>"PUBLIC,USER,ADMIN"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9488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5.0"/>
    <col customWidth="1" min="4" max="4" width="40.0"/>
    <col customWidth="1" min="5" max="5" width="35.0"/>
    <col customWidth="1" min="6" max="6" width="55.0"/>
    <col customWidth="1" min="7" max="7" width="30.0"/>
    <col customWidth="1" min="8" max="8" width="40.0"/>
    <col customWidth="1" min="9" max="9" width="30.0"/>
    <col customWidth="1" min="10" max="10" width="14.0"/>
    <col customWidth="1" min="11" max="11" width="12.0"/>
    <col customWidth="1" min="12" max="12" width="13.0"/>
    <col customWidth="1" min="13" max="13" width="25.0"/>
    <col customWidth="1" min="14" max="26" width="8.71"/>
  </cols>
  <sheetData>
    <row r="1" ht="30.0" customHeight="1">
      <c r="A1" s="9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15" t="s">
        <v>55</v>
      </c>
      <c r="K2" s="14" t="s">
        <v>56</v>
      </c>
      <c r="L2" s="4" t="s">
        <v>45</v>
      </c>
      <c r="M2" s="4" t="s">
        <v>46</v>
      </c>
    </row>
    <row r="3" ht="54.75" customHeight="1">
      <c r="A3" s="21" t="s">
        <v>231</v>
      </c>
      <c r="B3" s="22" t="s">
        <v>232</v>
      </c>
      <c r="C3" s="22" t="s">
        <v>233</v>
      </c>
      <c r="D3" s="22" t="s">
        <v>234</v>
      </c>
      <c r="E3" s="22" t="s">
        <v>235</v>
      </c>
      <c r="F3" s="22" t="s">
        <v>236</v>
      </c>
      <c r="G3" s="22" t="s">
        <v>237</v>
      </c>
      <c r="H3" s="22" t="s">
        <v>238</v>
      </c>
      <c r="I3" s="22"/>
      <c r="J3" s="15" t="s">
        <v>55</v>
      </c>
      <c r="K3" s="14" t="s">
        <v>56</v>
      </c>
      <c r="L3" s="23" t="s">
        <v>119</v>
      </c>
      <c r="M3" s="22"/>
    </row>
    <row r="4" ht="54.75" customHeight="1">
      <c r="A4" s="21" t="s">
        <v>239</v>
      </c>
      <c r="B4" s="22" t="s">
        <v>232</v>
      </c>
      <c r="C4" s="22" t="s">
        <v>240</v>
      </c>
      <c r="D4" s="22" t="s">
        <v>241</v>
      </c>
      <c r="E4" s="22" t="s">
        <v>242</v>
      </c>
      <c r="F4" s="22" t="s">
        <v>243</v>
      </c>
      <c r="G4" s="22" t="s">
        <v>116</v>
      </c>
      <c r="H4" s="22" t="s">
        <v>244</v>
      </c>
      <c r="I4" s="22"/>
      <c r="J4" s="15" t="s">
        <v>55</v>
      </c>
      <c r="K4" s="14" t="s">
        <v>56</v>
      </c>
      <c r="L4" s="23" t="s">
        <v>119</v>
      </c>
      <c r="M4" s="22"/>
    </row>
    <row r="5" ht="54.75" customHeight="1">
      <c r="A5" s="21" t="s">
        <v>245</v>
      </c>
      <c r="B5" s="22" t="s">
        <v>232</v>
      </c>
      <c r="C5" s="22" t="s">
        <v>246</v>
      </c>
      <c r="D5" s="22" t="s">
        <v>247</v>
      </c>
      <c r="E5" s="22" t="s">
        <v>242</v>
      </c>
      <c r="F5" s="22" t="s">
        <v>248</v>
      </c>
      <c r="G5" s="22" t="s">
        <v>116</v>
      </c>
      <c r="H5" s="22" t="s">
        <v>249</v>
      </c>
      <c r="I5" s="22"/>
      <c r="J5" s="15" t="s">
        <v>55</v>
      </c>
      <c r="K5" s="14" t="s">
        <v>56</v>
      </c>
      <c r="L5" s="23" t="s">
        <v>119</v>
      </c>
      <c r="M5" s="22"/>
    </row>
    <row r="6" ht="54.75" customHeight="1">
      <c r="A6" s="21" t="s">
        <v>250</v>
      </c>
      <c r="B6" s="22" t="s">
        <v>232</v>
      </c>
      <c r="C6" s="22" t="s">
        <v>251</v>
      </c>
      <c r="D6" s="22" t="s">
        <v>252</v>
      </c>
      <c r="E6" s="22" t="s">
        <v>253</v>
      </c>
      <c r="F6" s="22" t="s">
        <v>254</v>
      </c>
      <c r="G6" s="22" t="s">
        <v>116</v>
      </c>
      <c r="H6" s="22" t="s">
        <v>255</v>
      </c>
      <c r="I6" s="22"/>
      <c r="J6" s="15" t="s">
        <v>55</v>
      </c>
      <c r="K6" s="14" t="s">
        <v>56</v>
      </c>
      <c r="L6" s="23" t="s">
        <v>181</v>
      </c>
      <c r="M6" s="22"/>
    </row>
    <row r="7" ht="54.75" customHeight="1">
      <c r="A7" s="21" t="s">
        <v>256</v>
      </c>
      <c r="B7" s="22" t="s">
        <v>232</v>
      </c>
      <c r="C7" s="22" t="s">
        <v>257</v>
      </c>
      <c r="D7" s="22" t="s">
        <v>258</v>
      </c>
      <c r="E7" s="22" t="s">
        <v>259</v>
      </c>
      <c r="F7" s="22" t="s">
        <v>254</v>
      </c>
      <c r="G7" s="22" t="s">
        <v>116</v>
      </c>
      <c r="H7" s="22" t="s">
        <v>260</v>
      </c>
      <c r="I7" s="22"/>
      <c r="J7" s="15" t="s">
        <v>55</v>
      </c>
      <c r="K7" s="14" t="s">
        <v>56</v>
      </c>
      <c r="L7" s="14" t="s">
        <v>119</v>
      </c>
      <c r="M7" s="22"/>
    </row>
    <row r="8" ht="54.75" customHeight="1">
      <c r="A8" s="21" t="s">
        <v>261</v>
      </c>
      <c r="B8" s="22" t="s">
        <v>232</v>
      </c>
      <c r="C8" s="22" t="s">
        <v>262</v>
      </c>
      <c r="D8" s="22" t="s">
        <v>263</v>
      </c>
      <c r="E8" s="22" t="s">
        <v>253</v>
      </c>
      <c r="F8" s="22" t="s">
        <v>264</v>
      </c>
      <c r="G8" s="22" t="s">
        <v>116</v>
      </c>
      <c r="H8" s="22" t="s">
        <v>265</v>
      </c>
      <c r="I8" s="22"/>
      <c r="J8" s="15" t="s">
        <v>55</v>
      </c>
      <c r="K8" s="14" t="s">
        <v>56</v>
      </c>
      <c r="L8" s="15" t="s">
        <v>181</v>
      </c>
      <c r="M8" s="22"/>
    </row>
    <row r="9" ht="54.75" customHeight="1">
      <c r="A9" s="21" t="s">
        <v>266</v>
      </c>
      <c r="B9" s="22" t="s">
        <v>232</v>
      </c>
      <c r="C9" s="22" t="s">
        <v>267</v>
      </c>
      <c r="D9" s="22" t="s">
        <v>268</v>
      </c>
      <c r="E9" s="22" t="s">
        <v>269</v>
      </c>
      <c r="F9" s="22" t="s">
        <v>270</v>
      </c>
      <c r="G9" s="22" t="s">
        <v>116</v>
      </c>
      <c r="H9" s="22" t="s">
        <v>271</v>
      </c>
      <c r="I9" s="22"/>
      <c r="J9" s="15" t="s">
        <v>55</v>
      </c>
      <c r="K9" s="14" t="s">
        <v>56</v>
      </c>
      <c r="L9" s="15" t="s">
        <v>181</v>
      </c>
      <c r="M9" s="22"/>
    </row>
    <row r="10" ht="54.75" customHeight="1">
      <c r="A10" s="24" t="s">
        <v>272</v>
      </c>
      <c r="B10" s="25" t="s">
        <v>232</v>
      </c>
      <c r="C10" s="25" t="s">
        <v>273</v>
      </c>
      <c r="D10" s="25" t="s">
        <v>274</v>
      </c>
      <c r="E10" s="25" t="s">
        <v>275</v>
      </c>
      <c r="F10" s="25" t="s">
        <v>254</v>
      </c>
      <c r="G10" s="25" t="s">
        <v>116</v>
      </c>
      <c r="H10" s="25" t="s">
        <v>276</v>
      </c>
      <c r="I10" s="25"/>
      <c r="J10" s="15" t="s">
        <v>55</v>
      </c>
      <c r="K10" s="15" t="s">
        <v>101</v>
      </c>
      <c r="L10" s="14" t="s">
        <v>119</v>
      </c>
      <c r="M10" s="25"/>
    </row>
    <row r="11" ht="54.75" customHeight="1">
      <c r="A11" s="24" t="s">
        <v>277</v>
      </c>
      <c r="B11" s="25" t="s">
        <v>232</v>
      </c>
      <c r="C11" s="25" t="s">
        <v>278</v>
      </c>
      <c r="D11" s="25" t="s">
        <v>279</v>
      </c>
      <c r="E11" s="25" t="s">
        <v>196</v>
      </c>
      <c r="F11" s="25" t="s">
        <v>280</v>
      </c>
      <c r="G11" s="25" t="s">
        <v>281</v>
      </c>
      <c r="H11" s="25" t="s">
        <v>282</v>
      </c>
      <c r="I11" s="25"/>
      <c r="J11" s="15" t="s">
        <v>55</v>
      </c>
      <c r="K11" s="15" t="s">
        <v>101</v>
      </c>
      <c r="L11" s="14" t="s">
        <v>119</v>
      </c>
      <c r="M11" s="25"/>
    </row>
    <row r="12" ht="54.75" customHeight="1">
      <c r="A12" s="26" t="s">
        <v>283</v>
      </c>
      <c r="B12" s="27" t="s">
        <v>232</v>
      </c>
      <c r="C12" s="27" t="s">
        <v>284</v>
      </c>
      <c r="D12" s="27" t="s">
        <v>285</v>
      </c>
      <c r="E12" s="27" t="s">
        <v>286</v>
      </c>
      <c r="F12" s="27" t="s">
        <v>287</v>
      </c>
      <c r="G12" s="27" t="s">
        <v>116</v>
      </c>
      <c r="H12" s="27" t="s">
        <v>288</v>
      </c>
      <c r="I12" s="27"/>
      <c r="J12" s="15" t="s">
        <v>55</v>
      </c>
      <c r="K12" s="15" t="s">
        <v>204</v>
      </c>
      <c r="L12" s="14" t="s">
        <v>119</v>
      </c>
      <c r="M12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dataValidations>
    <dataValidation type="list" allowBlank="1" showErrorMessage="1" sqref="J2:J12">
      <formula1>"À tester,Échoué,Validé"</formula1>
    </dataValidation>
    <dataValidation type="list" allowBlank="1" showErrorMessage="1" sqref="L7:L12">
      <formula1>"PUBLIC,USER,ADMIN"</formula1>
    </dataValidation>
    <dataValidation type="list" allowBlank="1" showErrorMessage="1" sqref="K2:K12">
      <formula1>"Haute,Moyenne,Faible"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A34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5.0"/>
    <col customWidth="1" min="4" max="4" width="40.0"/>
    <col customWidth="1" min="5" max="5" width="35.0"/>
    <col customWidth="1" min="6" max="6" width="55.0"/>
    <col customWidth="1" min="7" max="7" width="30.0"/>
    <col customWidth="1" min="8" max="8" width="40.0"/>
    <col customWidth="1" min="9" max="9" width="30.0"/>
    <col customWidth="1" min="10" max="10" width="14.0"/>
    <col customWidth="1" min="11" max="11" width="12.0"/>
    <col customWidth="1" min="12" max="12" width="13.0"/>
    <col customWidth="1" min="13" max="13" width="25.0"/>
    <col customWidth="1" min="14" max="26" width="8.71"/>
  </cols>
  <sheetData>
    <row r="1" ht="30.0" customHeight="1">
      <c r="A1" s="9" t="s">
        <v>289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15" t="s">
        <v>55</v>
      </c>
      <c r="K2" s="4" t="s">
        <v>44</v>
      </c>
      <c r="L2" s="4" t="s">
        <v>45</v>
      </c>
      <c r="M2" s="4" t="s">
        <v>46</v>
      </c>
    </row>
    <row r="3" ht="54.75" customHeight="1">
      <c r="A3" s="21" t="s">
        <v>290</v>
      </c>
      <c r="B3" s="22" t="s">
        <v>14</v>
      </c>
      <c r="C3" s="22" t="s">
        <v>291</v>
      </c>
      <c r="D3" s="22" t="s">
        <v>292</v>
      </c>
      <c r="E3" s="22" t="s">
        <v>196</v>
      </c>
      <c r="F3" s="22" t="s">
        <v>293</v>
      </c>
      <c r="G3" s="22" t="s">
        <v>116</v>
      </c>
      <c r="H3" s="22" t="s">
        <v>294</v>
      </c>
      <c r="I3" s="22"/>
      <c r="J3" s="15" t="s">
        <v>55</v>
      </c>
      <c r="K3" s="14" t="s">
        <v>56</v>
      </c>
      <c r="L3" s="14" t="s">
        <v>119</v>
      </c>
      <c r="M3" s="22"/>
    </row>
    <row r="4" ht="54.75" customHeight="1">
      <c r="A4" s="21" t="s">
        <v>295</v>
      </c>
      <c r="B4" s="22" t="s">
        <v>14</v>
      </c>
      <c r="C4" s="22" t="s">
        <v>296</v>
      </c>
      <c r="D4" s="22" t="s">
        <v>297</v>
      </c>
      <c r="E4" s="22" t="s">
        <v>298</v>
      </c>
      <c r="F4" s="22" t="s">
        <v>299</v>
      </c>
      <c r="G4" s="22" t="s">
        <v>300</v>
      </c>
      <c r="H4" s="22" t="s">
        <v>301</v>
      </c>
      <c r="I4" s="22"/>
      <c r="J4" s="15" t="s">
        <v>55</v>
      </c>
      <c r="K4" s="14" t="s">
        <v>56</v>
      </c>
      <c r="L4" s="14" t="s">
        <v>119</v>
      </c>
      <c r="M4" s="22"/>
    </row>
    <row r="5" ht="54.75" customHeight="1">
      <c r="A5" s="24" t="s">
        <v>302</v>
      </c>
      <c r="B5" s="25" t="s">
        <v>14</v>
      </c>
      <c r="C5" s="25" t="s">
        <v>303</v>
      </c>
      <c r="D5" s="25" t="s">
        <v>304</v>
      </c>
      <c r="E5" s="25" t="s">
        <v>196</v>
      </c>
      <c r="F5" s="25" t="s">
        <v>305</v>
      </c>
      <c r="G5" s="25" t="s">
        <v>116</v>
      </c>
      <c r="H5" s="25" t="s">
        <v>306</v>
      </c>
      <c r="I5" s="25"/>
      <c r="J5" s="15" t="s">
        <v>55</v>
      </c>
      <c r="K5" s="15" t="s">
        <v>101</v>
      </c>
      <c r="L5" s="14" t="s">
        <v>119</v>
      </c>
      <c r="M5" s="25"/>
    </row>
    <row r="6" ht="54.75" customHeight="1">
      <c r="A6" s="21" t="s">
        <v>307</v>
      </c>
      <c r="B6" s="22" t="s">
        <v>14</v>
      </c>
      <c r="C6" s="22" t="s">
        <v>308</v>
      </c>
      <c r="D6" s="22" t="s">
        <v>309</v>
      </c>
      <c r="E6" s="22" t="s">
        <v>310</v>
      </c>
      <c r="F6" s="22" t="s">
        <v>311</v>
      </c>
      <c r="G6" s="22" t="s">
        <v>116</v>
      </c>
      <c r="H6" s="22" t="s">
        <v>312</v>
      </c>
      <c r="I6" s="22"/>
      <c r="J6" s="15" t="s">
        <v>55</v>
      </c>
      <c r="K6" s="14" t="s">
        <v>56</v>
      </c>
      <c r="L6" s="14" t="s">
        <v>119</v>
      </c>
      <c r="M6" s="22"/>
    </row>
    <row r="7" ht="54.75" customHeight="1">
      <c r="A7" s="21" t="s">
        <v>313</v>
      </c>
      <c r="B7" s="22" t="s">
        <v>14</v>
      </c>
      <c r="C7" s="22" t="s">
        <v>314</v>
      </c>
      <c r="D7" s="22" t="s">
        <v>315</v>
      </c>
      <c r="E7" s="22" t="s">
        <v>316</v>
      </c>
      <c r="F7" s="22" t="s">
        <v>317</v>
      </c>
      <c r="G7" s="22" t="s">
        <v>116</v>
      </c>
      <c r="H7" s="22" t="s">
        <v>318</v>
      </c>
      <c r="I7" s="22"/>
      <c r="J7" s="15" t="s">
        <v>55</v>
      </c>
      <c r="K7" s="14" t="s">
        <v>56</v>
      </c>
      <c r="L7" s="14" t="s">
        <v>119</v>
      </c>
      <c r="M7" s="22"/>
    </row>
    <row r="8" ht="54.75" customHeight="1">
      <c r="A8" s="24" t="s">
        <v>319</v>
      </c>
      <c r="B8" s="25" t="s">
        <v>14</v>
      </c>
      <c r="C8" s="25" t="s">
        <v>320</v>
      </c>
      <c r="D8" s="25" t="s">
        <v>321</v>
      </c>
      <c r="E8" s="25" t="s">
        <v>322</v>
      </c>
      <c r="F8" s="25" t="s">
        <v>323</v>
      </c>
      <c r="G8" s="25" t="s">
        <v>116</v>
      </c>
      <c r="H8" s="25" t="s">
        <v>324</v>
      </c>
      <c r="I8" s="25"/>
      <c r="J8" s="15" t="s">
        <v>55</v>
      </c>
      <c r="K8" s="15" t="s">
        <v>101</v>
      </c>
      <c r="L8" s="14" t="s">
        <v>119</v>
      </c>
      <c r="M8" s="25"/>
    </row>
    <row r="9" ht="54.75" customHeight="1">
      <c r="A9" s="24" t="s">
        <v>325</v>
      </c>
      <c r="B9" s="25" t="s">
        <v>14</v>
      </c>
      <c r="C9" s="25" t="s">
        <v>326</v>
      </c>
      <c r="D9" s="25" t="s">
        <v>327</v>
      </c>
      <c r="E9" s="25" t="s">
        <v>328</v>
      </c>
      <c r="F9" s="25" t="s">
        <v>243</v>
      </c>
      <c r="G9" s="25" t="s">
        <v>116</v>
      </c>
      <c r="H9" s="25" t="s">
        <v>329</v>
      </c>
      <c r="I9" s="25"/>
      <c r="J9" s="15" t="s">
        <v>55</v>
      </c>
      <c r="K9" s="15" t="s">
        <v>101</v>
      </c>
      <c r="L9" s="14" t="s">
        <v>119</v>
      </c>
      <c r="M9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dataValidations>
    <dataValidation type="list" allowBlank="1" showErrorMessage="1" sqref="J2:J9">
      <formula1>"À tester,Échoué,Validé"</formula1>
    </dataValidation>
    <dataValidation type="list" allowBlank="1" showErrorMessage="1" sqref="L3:L9">
      <formula1>"PUBLIC,USER,ADMIN"</formula1>
    </dataValidation>
    <dataValidation type="list" allowBlank="1" showErrorMessage="1" sqref="K3:K9">
      <formula1>"Haute,Moyenne,Faible"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8A04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5.0"/>
    <col customWidth="1" min="4" max="4" width="40.0"/>
    <col customWidth="1" min="5" max="5" width="35.0"/>
    <col customWidth="1" min="6" max="6" width="55.0"/>
    <col customWidth="1" min="7" max="7" width="30.0"/>
    <col customWidth="1" min="8" max="8" width="40.0"/>
    <col customWidth="1" min="9" max="9" width="30.0"/>
    <col customWidth="1" min="10" max="10" width="14.0"/>
    <col customWidth="1" min="11" max="11" width="12.0"/>
    <col customWidth="1" min="12" max="12" width="13.0"/>
    <col customWidth="1" min="13" max="13" width="25.0"/>
    <col customWidth="1" min="14" max="26" width="8.71"/>
  </cols>
  <sheetData>
    <row r="1" ht="30.0" customHeight="1">
      <c r="A1" s="9" t="s">
        <v>330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15" t="s">
        <v>55</v>
      </c>
      <c r="K2" s="4" t="s">
        <v>44</v>
      </c>
      <c r="L2" s="4" t="s">
        <v>45</v>
      </c>
      <c r="M2" s="4" t="s">
        <v>46</v>
      </c>
    </row>
    <row r="3" ht="54.75" customHeight="1">
      <c r="A3" s="21" t="s">
        <v>331</v>
      </c>
      <c r="B3" s="22" t="s">
        <v>332</v>
      </c>
      <c r="C3" s="22" t="s">
        <v>333</v>
      </c>
      <c r="D3" s="22" t="s">
        <v>334</v>
      </c>
      <c r="E3" s="22" t="s">
        <v>196</v>
      </c>
      <c r="F3" s="22" t="s">
        <v>335</v>
      </c>
      <c r="G3" s="22" t="s">
        <v>116</v>
      </c>
      <c r="H3" s="22" t="s">
        <v>336</v>
      </c>
      <c r="I3" s="22"/>
      <c r="J3" s="15" t="s">
        <v>55</v>
      </c>
      <c r="K3" s="23" t="s">
        <v>56</v>
      </c>
      <c r="L3" s="23" t="s">
        <v>119</v>
      </c>
      <c r="M3" s="22"/>
    </row>
    <row r="4" ht="54.75" customHeight="1">
      <c r="A4" s="21" t="s">
        <v>337</v>
      </c>
      <c r="B4" s="22" t="s">
        <v>332</v>
      </c>
      <c r="C4" s="22" t="s">
        <v>338</v>
      </c>
      <c r="D4" s="22" t="s">
        <v>339</v>
      </c>
      <c r="E4" s="22" t="s">
        <v>340</v>
      </c>
      <c r="F4" s="22" t="s">
        <v>341</v>
      </c>
      <c r="G4" s="22" t="s">
        <v>342</v>
      </c>
      <c r="H4" s="22" t="s">
        <v>343</v>
      </c>
      <c r="I4" s="22"/>
      <c r="J4" s="15" t="s">
        <v>55</v>
      </c>
      <c r="K4" s="23" t="s">
        <v>56</v>
      </c>
      <c r="L4" s="23" t="s">
        <v>119</v>
      </c>
      <c r="M4" s="22"/>
    </row>
    <row r="5" ht="54.75" customHeight="1">
      <c r="A5" s="21" t="s">
        <v>344</v>
      </c>
      <c r="B5" s="22" t="s">
        <v>332</v>
      </c>
      <c r="C5" s="22" t="s">
        <v>345</v>
      </c>
      <c r="D5" s="22" t="s">
        <v>346</v>
      </c>
      <c r="E5" s="22" t="s">
        <v>196</v>
      </c>
      <c r="F5" s="22" t="s">
        <v>347</v>
      </c>
      <c r="G5" s="22" t="s">
        <v>348</v>
      </c>
      <c r="H5" s="22" t="s">
        <v>349</v>
      </c>
      <c r="I5" s="22"/>
      <c r="J5" s="15" t="s">
        <v>55</v>
      </c>
      <c r="K5" s="23" t="s">
        <v>56</v>
      </c>
      <c r="L5" s="23" t="s">
        <v>119</v>
      </c>
      <c r="M5" s="22"/>
    </row>
    <row r="6" ht="54.75" customHeight="1">
      <c r="A6" s="21" t="s">
        <v>350</v>
      </c>
      <c r="B6" s="22" t="s">
        <v>332</v>
      </c>
      <c r="C6" s="22" t="s">
        <v>351</v>
      </c>
      <c r="D6" s="22" t="s">
        <v>352</v>
      </c>
      <c r="E6" s="22" t="s">
        <v>196</v>
      </c>
      <c r="F6" s="22" t="s">
        <v>353</v>
      </c>
      <c r="G6" s="22" t="s">
        <v>354</v>
      </c>
      <c r="H6" s="22" t="s">
        <v>355</v>
      </c>
      <c r="I6" s="22"/>
      <c r="J6" s="15" t="s">
        <v>55</v>
      </c>
      <c r="K6" s="23" t="s">
        <v>56</v>
      </c>
      <c r="L6" s="23" t="s">
        <v>119</v>
      </c>
      <c r="M6" s="22"/>
    </row>
    <row r="7" ht="54.75" customHeight="1">
      <c r="A7" s="21" t="s">
        <v>356</v>
      </c>
      <c r="B7" s="22" t="s">
        <v>332</v>
      </c>
      <c r="C7" s="22" t="s">
        <v>357</v>
      </c>
      <c r="D7" s="22" t="s">
        <v>358</v>
      </c>
      <c r="E7" s="22" t="s">
        <v>196</v>
      </c>
      <c r="F7" s="22" t="s">
        <v>359</v>
      </c>
      <c r="G7" s="22" t="s">
        <v>360</v>
      </c>
      <c r="H7" s="22" t="s">
        <v>361</v>
      </c>
      <c r="I7" s="22"/>
      <c r="J7" s="15" t="s">
        <v>55</v>
      </c>
      <c r="K7" s="23" t="s">
        <v>56</v>
      </c>
      <c r="L7" s="23" t="s">
        <v>119</v>
      </c>
      <c r="M7" s="22"/>
    </row>
    <row r="8" ht="54.75" customHeight="1">
      <c r="A8" s="21" t="s">
        <v>362</v>
      </c>
      <c r="B8" s="22" t="s">
        <v>332</v>
      </c>
      <c r="C8" s="22" t="s">
        <v>363</v>
      </c>
      <c r="D8" s="22" t="s">
        <v>364</v>
      </c>
      <c r="E8" s="22" t="s">
        <v>196</v>
      </c>
      <c r="F8" s="22" t="s">
        <v>365</v>
      </c>
      <c r="G8" s="22" t="s">
        <v>366</v>
      </c>
      <c r="H8" s="22" t="s">
        <v>367</v>
      </c>
      <c r="I8" s="22"/>
      <c r="J8" s="15" t="s">
        <v>55</v>
      </c>
      <c r="K8" s="23" t="s">
        <v>56</v>
      </c>
      <c r="L8" s="23" t="s">
        <v>119</v>
      </c>
      <c r="M8" s="22"/>
    </row>
    <row r="9" ht="54.75" customHeight="1">
      <c r="A9" s="24" t="s">
        <v>368</v>
      </c>
      <c r="B9" s="25" t="s">
        <v>332</v>
      </c>
      <c r="C9" s="25" t="s">
        <v>369</v>
      </c>
      <c r="D9" s="25" t="s">
        <v>370</v>
      </c>
      <c r="E9" s="25" t="s">
        <v>322</v>
      </c>
      <c r="F9" s="25" t="s">
        <v>371</v>
      </c>
      <c r="G9" s="25" t="s">
        <v>372</v>
      </c>
      <c r="H9" s="25" t="s">
        <v>373</v>
      </c>
      <c r="I9" s="25"/>
      <c r="J9" s="15" t="s">
        <v>55</v>
      </c>
      <c r="K9" s="28" t="s">
        <v>101</v>
      </c>
      <c r="L9" s="28" t="s">
        <v>119</v>
      </c>
      <c r="M9" s="25"/>
    </row>
    <row r="10" ht="54.75" customHeight="1">
      <c r="A10" s="24" t="s">
        <v>374</v>
      </c>
      <c r="B10" s="25" t="s">
        <v>332</v>
      </c>
      <c r="C10" s="25" t="s">
        <v>375</v>
      </c>
      <c r="D10" s="25" t="s">
        <v>376</v>
      </c>
      <c r="E10" s="25" t="s">
        <v>196</v>
      </c>
      <c r="F10" s="25" t="s">
        <v>377</v>
      </c>
      <c r="G10" s="25" t="s">
        <v>378</v>
      </c>
      <c r="H10" s="25" t="s">
        <v>379</v>
      </c>
      <c r="I10" s="25"/>
      <c r="J10" s="15" t="s">
        <v>55</v>
      </c>
      <c r="K10" s="28" t="s">
        <v>101</v>
      </c>
      <c r="L10" s="28" t="s">
        <v>119</v>
      </c>
      <c r="M10" s="25"/>
    </row>
    <row r="11" ht="54.75" customHeight="1">
      <c r="A11" s="24" t="s">
        <v>380</v>
      </c>
      <c r="B11" s="25" t="s">
        <v>332</v>
      </c>
      <c r="C11" s="25" t="s">
        <v>381</v>
      </c>
      <c r="D11" s="25" t="s">
        <v>382</v>
      </c>
      <c r="E11" s="25" t="s">
        <v>383</v>
      </c>
      <c r="F11" s="25" t="s">
        <v>384</v>
      </c>
      <c r="G11" s="25" t="s">
        <v>385</v>
      </c>
      <c r="H11" s="25" t="s">
        <v>386</v>
      </c>
      <c r="I11" s="25"/>
      <c r="J11" s="15" t="s">
        <v>55</v>
      </c>
      <c r="K11" s="28" t="s">
        <v>101</v>
      </c>
      <c r="L11" s="28" t="s">
        <v>119</v>
      </c>
      <c r="M11" s="25"/>
    </row>
    <row r="12" ht="54.75" customHeight="1">
      <c r="A12" s="24" t="s">
        <v>387</v>
      </c>
      <c r="B12" s="25" t="s">
        <v>332</v>
      </c>
      <c r="C12" s="25" t="s">
        <v>388</v>
      </c>
      <c r="D12" s="25" t="s">
        <v>389</v>
      </c>
      <c r="E12" s="25" t="s">
        <v>196</v>
      </c>
      <c r="F12" s="25" t="s">
        <v>390</v>
      </c>
      <c r="G12" s="25" t="s">
        <v>116</v>
      </c>
      <c r="H12" s="25" t="s">
        <v>391</v>
      </c>
      <c r="I12" s="25"/>
      <c r="J12" s="15" t="s">
        <v>55</v>
      </c>
      <c r="K12" s="28" t="s">
        <v>101</v>
      </c>
      <c r="L12" s="28" t="s">
        <v>119</v>
      </c>
      <c r="M12" s="25"/>
    </row>
    <row r="13" ht="54.75" customHeight="1">
      <c r="A13" s="24" t="s">
        <v>392</v>
      </c>
      <c r="B13" s="25" t="s">
        <v>332</v>
      </c>
      <c r="C13" s="25" t="s">
        <v>393</v>
      </c>
      <c r="D13" s="25" t="s">
        <v>394</v>
      </c>
      <c r="E13" s="25" t="s">
        <v>196</v>
      </c>
      <c r="F13" s="25" t="s">
        <v>395</v>
      </c>
      <c r="G13" s="25" t="s">
        <v>116</v>
      </c>
      <c r="H13" s="25" t="s">
        <v>396</v>
      </c>
      <c r="I13" s="25"/>
      <c r="J13" s="15" t="s">
        <v>55</v>
      </c>
      <c r="K13" s="28" t="s">
        <v>101</v>
      </c>
      <c r="L13" s="28" t="s">
        <v>119</v>
      </c>
      <c r="M13" s="25"/>
    </row>
    <row r="14" ht="54.75" customHeight="1">
      <c r="A14" s="21" t="s">
        <v>397</v>
      </c>
      <c r="B14" s="22" t="s">
        <v>332</v>
      </c>
      <c r="C14" s="22" t="s">
        <v>398</v>
      </c>
      <c r="D14" s="22" t="s">
        <v>399</v>
      </c>
      <c r="E14" s="22" t="s">
        <v>400</v>
      </c>
      <c r="F14" s="22" t="s">
        <v>401</v>
      </c>
      <c r="G14" s="22" t="s">
        <v>116</v>
      </c>
      <c r="H14" s="22" t="s">
        <v>402</v>
      </c>
      <c r="I14" s="22"/>
      <c r="J14" s="15" t="s">
        <v>55</v>
      </c>
      <c r="K14" s="23" t="s">
        <v>56</v>
      </c>
      <c r="L14" s="23" t="s">
        <v>119</v>
      </c>
      <c r="M14" s="22"/>
    </row>
    <row r="15" ht="54.75" customHeight="1">
      <c r="A15" s="21" t="s">
        <v>403</v>
      </c>
      <c r="B15" s="22" t="s">
        <v>404</v>
      </c>
      <c r="C15" s="22" t="s">
        <v>405</v>
      </c>
      <c r="D15" s="22" t="s">
        <v>406</v>
      </c>
      <c r="E15" s="22" t="s">
        <v>407</v>
      </c>
      <c r="F15" s="22" t="s">
        <v>408</v>
      </c>
      <c r="G15" s="22" t="s">
        <v>116</v>
      </c>
      <c r="H15" s="22" t="s">
        <v>409</v>
      </c>
      <c r="I15" s="22"/>
      <c r="J15" s="15" t="s">
        <v>55</v>
      </c>
      <c r="K15" s="23" t="s">
        <v>56</v>
      </c>
      <c r="L15" s="23" t="s">
        <v>119</v>
      </c>
      <c r="M15" s="22"/>
    </row>
    <row r="16" ht="54.75" customHeight="1">
      <c r="A16" s="21" t="s">
        <v>410</v>
      </c>
      <c r="B16" s="22" t="s">
        <v>404</v>
      </c>
      <c r="C16" s="22" t="s">
        <v>411</v>
      </c>
      <c r="D16" s="22" t="s">
        <v>412</v>
      </c>
      <c r="E16" s="22" t="s">
        <v>413</v>
      </c>
      <c r="F16" s="22" t="s">
        <v>414</v>
      </c>
      <c r="G16" s="22" t="s">
        <v>415</v>
      </c>
      <c r="H16" s="22" t="s">
        <v>416</v>
      </c>
      <c r="I16" s="22"/>
      <c r="J16" s="15" t="s">
        <v>55</v>
      </c>
      <c r="K16" s="23" t="s">
        <v>56</v>
      </c>
      <c r="L16" s="23" t="s">
        <v>119</v>
      </c>
      <c r="M16" s="22"/>
    </row>
    <row r="17" ht="54.75" customHeight="1">
      <c r="A17" s="21" t="s">
        <v>417</v>
      </c>
      <c r="B17" s="22" t="s">
        <v>418</v>
      </c>
      <c r="C17" s="22" t="s">
        <v>419</v>
      </c>
      <c r="D17" s="22" t="s">
        <v>420</v>
      </c>
      <c r="E17" s="22" t="s">
        <v>421</v>
      </c>
      <c r="F17" s="22" t="s">
        <v>422</v>
      </c>
      <c r="G17" s="22" t="s">
        <v>423</v>
      </c>
      <c r="H17" s="22" t="s">
        <v>424</v>
      </c>
      <c r="I17" s="22"/>
      <c r="J17" s="15" t="s">
        <v>55</v>
      </c>
      <c r="K17" s="23" t="s">
        <v>56</v>
      </c>
      <c r="L17" s="23" t="s">
        <v>119</v>
      </c>
      <c r="M17" s="22"/>
    </row>
    <row r="18" ht="54.75" customHeight="1">
      <c r="A18" s="21" t="s">
        <v>425</v>
      </c>
      <c r="B18" s="22" t="s">
        <v>418</v>
      </c>
      <c r="C18" s="22" t="s">
        <v>426</v>
      </c>
      <c r="D18" s="22" t="s">
        <v>427</v>
      </c>
      <c r="E18" s="22" t="s">
        <v>428</v>
      </c>
      <c r="F18" s="22" t="s">
        <v>429</v>
      </c>
      <c r="G18" s="22" t="s">
        <v>116</v>
      </c>
      <c r="H18" s="22" t="s">
        <v>430</v>
      </c>
      <c r="I18" s="22"/>
      <c r="J18" s="15" t="s">
        <v>55</v>
      </c>
      <c r="K18" s="14" t="s">
        <v>56</v>
      </c>
      <c r="L18" s="14" t="s">
        <v>119</v>
      </c>
      <c r="M18" s="22"/>
    </row>
    <row r="19" ht="54.75" customHeight="1">
      <c r="A19" s="21" t="s">
        <v>431</v>
      </c>
      <c r="B19" s="22" t="s">
        <v>418</v>
      </c>
      <c r="C19" s="22" t="s">
        <v>432</v>
      </c>
      <c r="D19" s="22" t="s">
        <v>433</v>
      </c>
      <c r="E19" s="22" t="s">
        <v>434</v>
      </c>
      <c r="F19" s="22" t="s">
        <v>435</v>
      </c>
      <c r="G19" s="22" t="s">
        <v>116</v>
      </c>
      <c r="H19" s="22" t="s">
        <v>436</v>
      </c>
      <c r="I19" s="22"/>
      <c r="J19" s="15" t="s">
        <v>55</v>
      </c>
      <c r="K19" s="14" t="s">
        <v>56</v>
      </c>
      <c r="L19" s="15" t="s">
        <v>181</v>
      </c>
      <c r="M19" s="22"/>
    </row>
    <row r="20" ht="54.75" customHeight="1">
      <c r="A20" s="21" t="s">
        <v>437</v>
      </c>
      <c r="B20" s="22" t="s">
        <v>418</v>
      </c>
      <c r="C20" s="22" t="s">
        <v>438</v>
      </c>
      <c r="D20" s="22" t="s">
        <v>439</v>
      </c>
      <c r="E20" s="22" t="s">
        <v>440</v>
      </c>
      <c r="F20" s="22" t="s">
        <v>441</v>
      </c>
      <c r="G20" s="22" t="s">
        <v>116</v>
      </c>
      <c r="H20" s="22" t="s">
        <v>442</v>
      </c>
      <c r="I20" s="22"/>
      <c r="J20" s="15" t="s">
        <v>55</v>
      </c>
      <c r="K20" s="14" t="s">
        <v>56</v>
      </c>
      <c r="L20" s="15" t="s">
        <v>181</v>
      </c>
      <c r="M20" s="22"/>
    </row>
    <row r="21" ht="54.75" customHeight="1">
      <c r="A21" s="21" t="s">
        <v>443</v>
      </c>
      <c r="B21" s="22" t="s">
        <v>418</v>
      </c>
      <c r="C21" s="22" t="s">
        <v>444</v>
      </c>
      <c r="D21" s="22" t="s">
        <v>445</v>
      </c>
      <c r="E21" s="22" t="s">
        <v>440</v>
      </c>
      <c r="F21" s="22" t="s">
        <v>446</v>
      </c>
      <c r="G21" s="22" t="s">
        <v>116</v>
      </c>
      <c r="H21" s="22" t="s">
        <v>447</v>
      </c>
      <c r="I21" s="22"/>
      <c r="J21" s="15" t="s">
        <v>55</v>
      </c>
      <c r="K21" s="14" t="s">
        <v>56</v>
      </c>
      <c r="L21" s="15" t="s">
        <v>181</v>
      </c>
      <c r="M21" s="22"/>
    </row>
    <row r="22" ht="54.75" customHeight="1">
      <c r="A22" s="21" t="s">
        <v>448</v>
      </c>
      <c r="B22" s="22" t="s">
        <v>449</v>
      </c>
      <c r="C22" s="22" t="s">
        <v>450</v>
      </c>
      <c r="D22" s="22" t="s">
        <v>451</v>
      </c>
      <c r="E22" s="22" t="s">
        <v>253</v>
      </c>
      <c r="F22" s="22" t="s">
        <v>452</v>
      </c>
      <c r="G22" s="22" t="s">
        <v>116</v>
      </c>
      <c r="H22" s="22" t="s">
        <v>453</v>
      </c>
      <c r="I22" s="22"/>
      <c r="J22" s="15" t="s">
        <v>55</v>
      </c>
      <c r="K22" s="14" t="s">
        <v>56</v>
      </c>
      <c r="L22" s="15" t="s">
        <v>181</v>
      </c>
      <c r="M22" s="22"/>
    </row>
    <row r="23" ht="54.75" customHeight="1">
      <c r="A23" s="24" t="s">
        <v>454</v>
      </c>
      <c r="B23" s="25" t="s">
        <v>449</v>
      </c>
      <c r="C23" s="25" t="s">
        <v>455</v>
      </c>
      <c r="D23" s="25" t="s">
        <v>456</v>
      </c>
      <c r="E23" s="25" t="s">
        <v>253</v>
      </c>
      <c r="F23" s="25" t="s">
        <v>457</v>
      </c>
      <c r="G23" s="25" t="s">
        <v>116</v>
      </c>
      <c r="H23" s="25" t="s">
        <v>458</v>
      </c>
      <c r="I23" s="25"/>
      <c r="J23" s="15" t="s">
        <v>55</v>
      </c>
      <c r="K23" s="15" t="s">
        <v>101</v>
      </c>
      <c r="L23" s="15" t="s">
        <v>181</v>
      </c>
      <c r="M23" s="25"/>
    </row>
    <row r="24" ht="15.75" customHeight="1"/>
    <row r="25" ht="15.75" customHeight="1">
      <c r="J25" s="15" t="s">
        <v>118</v>
      </c>
      <c r="K25" s="14" t="s">
        <v>56</v>
      </c>
      <c r="L25" s="14" t="s">
        <v>119</v>
      </c>
    </row>
    <row r="26" ht="15.75" customHeight="1">
      <c r="J26" s="15" t="s">
        <v>94</v>
      </c>
      <c r="K26" s="15" t="s">
        <v>101</v>
      </c>
      <c r="L26" s="15" t="s">
        <v>57</v>
      </c>
    </row>
    <row r="27" ht="15.75" customHeight="1">
      <c r="J27" s="15" t="s">
        <v>55</v>
      </c>
      <c r="K27" s="15" t="s">
        <v>204</v>
      </c>
      <c r="L27" s="15" t="s">
        <v>181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dataValidations>
    <dataValidation type="list" allowBlank="1" showErrorMessage="1" sqref="J2:J23 J25:J27">
      <formula1>"À tester,Échoué,Validé"</formula1>
    </dataValidation>
    <dataValidation type="list" allowBlank="1" showErrorMessage="1" sqref="L18:L23 L25:L27">
      <formula1>"PUBLIC,USER,ADMIN"</formula1>
    </dataValidation>
    <dataValidation type="list" allowBlank="1" showErrorMessage="1" sqref="K18:K23 K25:K27">
      <formula1>"Haute,Moyenne,Faible"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580C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5.0"/>
    <col customWidth="1" min="4" max="4" width="40.0"/>
    <col customWidth="1" min="5" max="5" width="35.0"/>
    <col customWidth="1" min="6" max="6" width="55.0"/>
    <col customWidth="1" min="7" max="7" width="30.0"/>
    <col customWidth="1" min="8" max="8" width="40.0"/>
    <col customWidth="1" min="9" max="9" width="30.0"/>
    <col customWidth="1" min="10" max="10" width="14.0"/>
    <col customWidth="1" min="11" max="11" width="12.0"/>
    <col customWidth="1" min="12" max="12" width="13.0"/>
    <col customWidth="1" min="13" max="13" width="25.0"/>
    <col customWidth="1" min="14" max="26" width="8.71"/>
  </cols>
  <sheetData>
    <row r="1" ht="30.0" customHeight="1">
      <c r="A1" s="9" t="s">
        <v>459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</row>
    <row r="3" ht="54.75" customHeight="1">
      <c r="A3" s="21" t="s">
        <v>460</v>
      </c>
      <c r="B3" s="22" t="s">
        <v>18</v>
      </c>
      <c r="C3" s="22" t="s">
        <v>461</v>
      </c>
      <c r="D3" s="22" t="s">
        <v>462</v>
      </c>
      <c r="E3" s="22" t="s">
        <v>196</v>
      </c>
      <c r="F3" s="22" t="s">
        <v>463</v>
      </c>
      <c r="G3" s="22" t="s">
        <v>116</v>
      </c>
      <c r="H3" s="22" t="s">
        <v>464</v>
      </c>
      <c r="I3" s="22"/>
      <c r="J3" s="15" t="s">
        <v>55</v>
      </c>
      <c r="K3" s="14" t="s">
        <v>56</v>
      </c>
      <c r="L3" s="14" t="s">
        <v>119</v>
      </c>
      <c r="M3" s="22"/>
    </row>
    <row r="4" ht="54.75" customHeight="1">
      <c r="A4" s="21" t="s">
        <v>465</v>
      </c>
      <c r="B4" s="22" t="s">
        <v>18</v>
      </c>
      <c r="C4" s="22" t="s">
        <v>466</v>
      </c>
      <c r="D4" s="22" t="s">
        <v>467</v>
      </c>
      <c r="E4" s="22" t="s">
        <v>196</v>
      </c>
      <c r="F4" s="22" t="s">
        <v>468</v>
      </c>
      <c r="G4" s="22" t="s">
        <v>116</v>
      </c>
      <c r="H4" s="22" t="s">
        <v>469</v>
      </c>
      <c r="I4" s="22"/>
      <c r="J4" s="15" t="s">
        <v>55</v>
      </c>
      <c r="K4" s="14" t="s">
        <v>56</v>
      </c>
      <c r="L4" s="14" t="s">
        <v>119</v>
      </c>
      <c r="M4" s="22"/>
    </row>
    <row r="5" ht="54.75" customHeight="1">
      <c r="A5" s="21" t="s">
        <v>470</v>
      </c>
      <c r="B5" s="22" t="s">
        <v>18</v>
      </c>
      <c r="C5" s="22" t="s">
        <v>471</v>
      </c>
      <c r="D5" s="22" t="s">
        <v>472</v>
      </c>
      <c r="E5" s="22" t="s">
        <v>473</v>
      </c>
      <c r="F5" s="22" t="s">
        <v>474</v>
      </c>
      <c r="G5" s="22" t="s">
        <v>475</v>
      </c>
      <c r="H5" s="22" t="s">
        <v>476</v>
      </c>
      <c r="I5" s="22"/>
      <c r="J5" s="15" t="s">
        <v>55</v>
      </c>
      <c r="K5" s="14" t="s">
        <v>56</v>
      </c>
      <c r="L5" s="14" t="s">
        <v>119</v>
      </c>
      <c r="M5" s="22"/>
    </row>
    <row r="6" ht="54.75" customHeight="1">
      <c r="A6" s="21" t="s">
        <v>477</v>
      </c>
      <c r="B6" s="22" t="s">
        <v>18</v>
      </c>
      <c r="C6" s="22" t="s">
        <v>478</v>
      </c>
      <c r="D6" s="22" t="s">
        <v>479</v>
      </c>
      <c r="E6" s="22" t="s">
        <v>473</v>
      </c>
      <c r="F6" s="22" t="s">
        <v>480</v>
      </c>
      <c r="G6" s="22" t="s">
        <v>481</v>
      </c>
      <c r="H6" s="22" t="s">
        <v>482</v>
      </c>
      <c r="I6" s="22"/>
      <c r="J6" s="15" t="s">
        <v>55</v>
      </c>
      <c r="K6" s="14" t="s">
        <v>56</v>
      </c>
      <c r="L6" s="14" t="s">
        <v>119</v>
      </c>
      <c r="M6" s="22"/>
    </row>
    <row r="7" ht="54.75" customHeight="1">
      <c r="A7" s="24" t="s">
        <v>483</v>
      </c>
      <c r="B7" s="25" t="s">
        <v>18</v>
      </c>
      <c r="C7" s="25" t="s">
        <v>484</v>
      </c>
      <c r="D7" s="25" t="s">
        <v>485</v>
      </c>
      <c r="E7" s="25" t="s">
        <v>486</v>
      </c>
      <c r="F7" s="25" t="s">
        <v>487</v>
      </c>
      <c r="G7" s="25" t="s">
        <v>116</v>
      </c>
      <c r="H7" s="25" t="s">
        <v>488</v>
      </c>
      <c r="I7" s="25"/>
      <c r="J7" s="15" t="s">
        <v>55</v>
      </c>
      <c r="K7" s="15" t="s">
        <v>101</v>
      </c>
      <c r="L7" s="14" t="s">
        <v>119</v>
      </c>
      <c r="M7" s="25"/>
    </row>
    <row r="8" ht="54.75" customHeight="1">
      <c r="A8" s="26" t="s">
        <v>489</v>
      </c>
      <c r="B8" s="27" t="s">
        <v>18</v>
      </c>
      <c r="C8" s="27" t="s">
        <v>490</v>
      </c>
      <c r="D8" s="27" t="s">
        <v>491</v>
      </c>
      <c r="E8" s="27" t="s">
        <v>492</v>
      </c>
      <c r="F8" s="27" t="s">
        <v>493</v>
      </c>
      <c r="G8" s="27" t="s">
        <v>116</v>
      </c>
      <c r="H8" s="27" t="s">
        <v>494</v>
      </c>
      <c r="I8" s="27"/>
      <c r="J8" s="15" t="s">
        <v>55</v>
      </c>
      <c r="K8" s="15" t="s">
        <v>204</v>
      </c>
      <c r="L8" s="14" t="s">
        <v>119</v>
      </c>
      <c r="M8" s="27"/>
    </row>
    <row r="10">
      <c r="J10" s="15" t="s">
        <v>118</v>
      </c>
      <c r="K10" s="14" t="s">
        <v>56</v>
      </c>
      <c r="L10" s="14" t="s">
        <v>119</v>
      </c>
    </row>
    <row r="11">
      <c r="J11" s="15" t="s">
        <v>94</v>
      </c>
      <c r="K11" s="15" t="s">
        <v>101</v>
      </c>
      <c r="L11" s="15" t="s">
        <v>57</v>
      </c>
    </row>
    <row r="12">
      <c r="J12" s="15" t="s">
        <v>55</v>
      </c>
      <c r="K12" s="15" t="s">
        <v>204</v>
      </c>
      <c r="L12" s="15" t="s">
        <v>181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dataValidations>
    <dataValidation type="list" allowBlank="1" showErrorMessage="1" sqref="J3:J8 J10:J12">
      <formula1>"À tester,Échoué,Validé"</formula1>
    </dataValidation>
    <dataValidation type="list" allowBlank="1" showErrorMessage="1" sqref="L3:L8 L10:L12">
      <formula1>"PUBLIC,USER,ADMIN"</formula1>
    </dataValidation>
    <dataValidation type="list" allowBlank="1" showErrorMessage="1" sqref="K3:K8 K10:K12">
      <formula1>"Haute,Moyenne,Faible"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C2626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5.0"/>
    <col customWidth="1" min="4" max="4" width="40.0"/>
    <col customWidth="1" min="5" max="5" width="35.0"/>
    <col customWidth="1" min="6" max="6" width="55.0"/>
    <col customWidth="1" min="7" max="7" width="30.0"/>
    <col customWidth="1" min="8" max="8" width="40.0"/>
    <col customWidth="1" min="9" max="9" width="30.0"/>
    <col customWidth="1" min="10" max="10" width="14.0"/>
    <col customWidth="1" min="11" max="11" width="12.0"/>
    <col customWidth="1" min="12" max="12" width="13.0"/>
    <col customWidth="1" min="13" max="13" width="25.0"/>
    <col customWidth="1" min="14" max="26" width="8.71"/>
  </cols>
  <sheetData>
    <row r="1" ht="30.0" customHeight="1">
      <c r="A1" s="9" t="s">
        <v>495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</row>
    <row r="3" ht="54.75" customHeight="1">
      <c r="A3" s="21" t="s">
        <v>496</v>
      </c>
      <c r="B3" s="22" t="s">
        <v>497</v>
      </c>
      <c r="C3" s="22" t="s">
        <v>498</v>
      </c>
      <c r="D3" s="22" t="s">
        <v>499</v>
      </c>
      <c r="E3" s="22" t="s">
        <v>253</v>
      </c>
      <c r="F3" s="22" t="s">
        <v>500</v>
      </c>
      <c r="G3" s="22" t="s">
        <v>116</v>
      </c>
      <c r="H3" s="22" t="s">
        <v>501</v>
      </c>
      <c r="I3" s="22"/>
      <c r="J3" s="15" t="s">
        <v>55</v>
      </c>
      <c r="K3" s="14" t="s">
        <v>56</v>
      </c>
      <c r="L3" s="15" t="s">
        <v>181</v>
      </c>
      <c r="M3" s="22"/>
    </row>
    <row r="4" ht="54.75" customHeight="1">
      <c r="A4" s="21" t="s">
        <v>502</v>
      </c>
      <c r="B4" s="22" t="s">
        <v>497</v>
      </c>
      <c r="C4" s="22" t="s">
        <v>503</v>
      </c>
      <c r="D4" s="22" t="s">
        <v>504</v>
      </c>
      <c r="E4" s="22" t="s">
        <v>253</v>
      </c>
      <c r="F4" s="22" t="s">
        <v>505</v>
      </c>
      <c r="G4" s="22" t="s">
        <v>506</v>
      </c>
      <c r="H4" s="22" t="s">
        <v>507</v>
      </c>
      <c r="I4" s="22"/>
      <c r="J4" s="15" t="s">
        <v>55</v>
      </c>
      <c r="K4" s="14" t="s">
        <v>56</v>
      </c>
      <c r="L4" s="15" t="s">
        <v>181</v>
      </c>
      <c r="M4" s="22"/>
    </row>
    <row r="5" ht="54.75" customHeight="1">
      <c r="A5" s="21" t="s">
        <v>508</v>
      </c>
      <c r="B5" s="22" t="s">
        <v>497</v>
      </c>
      <c r="C5" s="22" t="s">
        <v>509</v>
      </c>
      <c r="D5" s="22" t="s">
        <v>510</v>
      </c>
      <c r="E5" s="22" t="s">
        <v>253</v>
      </c>
      <c r="F5" s="22" t="s">
        <v>511</v>
      </c>
      <c r="G5" s="22" t="s">
        <v>512</v>
      </c>
      <c r="H5" s="22" t="s">
        <v>513</v>
      </c>
      <c r="I5" s="22"/>
      <c r="J5" s="15" t="s">
        <v>55</v>
      </c>
      <c r="K5" s="14" t="s">
        <v>56</v>
      </c>
      <c r="L5" s="15" t="s">
        <v>181</v>
      </c>
      <c r="M5" s="22"/>
    </row>
    <row r="6" ht="54.75" customHeight="1">
      <c r="A6" s="21" t="s">
        <v>514</v>
      </c>
      <c r="B6" s="22" t="s">
        <v>497</v>
      </c>
      <c r="C6" s="22" t="s">
        <v>515</v>
      </c>
      <c r="D6" s="22" t="s">
        <v>516</v>
      </c>
      <c r="E6" s="22" t="s">
        <v>253</v>
      </c>
      <c r="F6" s="22" t="s">
        <v>517</v>
      </c>
      <c r="G6" s="22" t="s">
        <v>518</v>
      </c>
      <c r="H6" s="22" t="s">
        <v>519</v>
      </c>
      <c r="I6" s="22"/>
      <c r="J6" s="15" t="s">
        <v>55</v>
      </c>
      <c r="K6" s="14" t="s">
        <v>56</v>
      </c>
      <c r="L6" s="15" t="s">
        <v>181</v>
      </c>
      <c r="M6" s="22"/>
    </row>
    <row r="7" ht="54.75" customHeight="1">
      <c r="A7" s="21" t="s">
        <v>520</v>
      </c>
      <c r="B7" s="22" t="s">
        <v>497</v>
      </c>
      <c r="C7" s="22" t="s">
        <v>521</v>
      </c>
      <c r="D7" s="22" t="s">
        <v>522</v>
      </c>
      <c r="E7" s="22" t="s">
        <v>523</v>
      </c>
      <c r="F7" s="22" t="s">
        <v>524</v>
      </c>
      <c r="G7" s="22" t="s">
        <v>116</v>
      </c>
      <c r="H7" s="22" t="s">
        <v>525</v>
      </c>
      <c r="I7" s="22"/>
      <c r="J7" s="15" t="s">
        <v>55</v>
      </c>
      <c r="K7" s="14" t="s">
        <v>56</v>
      </c>
      <c r="L7" s="15" t="s">
        <v>181</v>
      </c>
      <c r="M7" s="22"/>
    </row>
    <row r="8" ht="54.75" customHeight="1">
      <c r="A8" s="21" t="s">
        <v>526</v>
      </c>
      <c r="B8" s="22" t="s">
        <v>497</v>
      </c>
      <c r="C8" s="22" t="s">
        <v>527</v>
      </c>
      <c r="D8" s="22" t="s">
        <v>528</v>
      </c>
      <c r="E8" s="22" t="s">
        <v>529</v>
      </c>
      <c r="F8" s="22" t="s">
        <v>530</v>
      </c>
      <c r="G8" s="22" t="s">
        <v>531</v>
      </c>
      <c r="H8" s="22" t="s">
        <v>532</v>
      </c>
      <c r="I8" s="22"/>
      <c r="J8" s="15" t="s">
        <v>55</v>
      </c>
      <c r="K8" s="14" t="s">
        <v>56</v>
      </c>
      <c r="L8" s="15" t="s">
        <v>181</v>
      </c>
      <c r="M8" s="22"/>
    </row>
    <row r="9" ht="54.75" customHeight="1">
      <c r="A9" s="24" t="s">
        <v>533</v>
      </c>
      <c r="B9" s="25" t="s">
        <v>497</v>
      </c>
      <c r="C9" s="25" t="s">
        <v>534</v>
      </c>
      <c r="D9" s="25" t="s">
        <v>535</v>
      </c>
      <c r="E9" s="25" t="s">
        <v>536</v>
      </c>
      <c r="F9" s="25" t="s">
        <v>537</v>
      </c>
      <c r="G9" s="25" t="s">
        <v>538</v>
      </c>
      <c r="H9" s="25" t="s">
        <v>539</v>
      </c>
      <c r="I9" s="25"/>
      <c r="J9" s="15" t="s">
        <v>55</v>
      </c>
      <c r="K9" s="15" t="s">
        <v>101</v>
      </c>
      <c r="L9" s="15" t="s">
        <v>181</v>
      </c>
      <c r="M9" s="25"/>
    </row>
    <row r="10" ht="54.75" customHeight="1">
      <c r="A10" s="21" t="s">
        <v>540</v>
      </c>
      <c r="B10" s="22" t="s">
        <v>497</v>
      </c>
      <c r="C10" s="22" t="s">
        <v>541</v>
      </c>
      <c r="D10" s="22" t="s">
        <v>542</v>
      </c>
      <c r="E10" s="22" t="s">
        <v>253</v>
      </c>
      <c r="F10" s="22" t="s">
        <v>543</v>
      </c>
      <c r="G10" s="22" t="s">
        <v>116</v>
      </c>
      <c r="H10" s="22" t="s">
        <v>544</v>
      </c>
      <c r="I10" s="22"/>
      <c r="J10" s="15" t="s">
        <v>55</v>
      </c>
      <c r="K10" s="14" t="s">
        <v>56</v>
      </c>
      <c r="L10" s="15" t="s">
        <v>181</v>
      </c>
      <c r="M10" s="22"/>
    </row>
    <row r="11" ht="54.75" customHeight="1">
      <c r="A11" s="21" t="s">
        <v>545</v>
      </c>
      <c r="B11" s="22" t="s">
        <v>497</v>
      </c>
      <c r="C11" s="22" t="s">
        <v>546</v>
      </c>
      <c r="D11" s="22" t="s">
        <v>547</v>
      </c>
      <c r="E11" s="22" t="s">
        <v>253</v>
      </c>
      <c r="F11" s="22" t="s">
        <v>548</v>
      </c>
      <c r="G11" s="22" t="s">
        <v>116</v>
      </c>
      <c r="H11" s="22" t="s">
        <v>549</v>
      </c>
      <c r="I11" s="22"/>
      <c r="J11" s="15" t="s">
        <v>55</v>
      </c>
      <c r="K11" s="14" t="s">
        <v>56</v>
      </c>
      <c r="L11" s="15" t="s">
        <v>181</v>
      </c>
      <c r="M11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dataValidations>
    <dataValidation type="list" allowBlank="1" showErrorMessage="1" sqref="J3:J11">
      <formula1>"À tester,Échoué,Validé"</formula1>
    </dataValidation>
    <dataValidation type="list" allowBlank="1" showErrorMessage="1" sqref="L3:L11">
      <formula1>"PUBLIC,USER,ADMIN"</formula1>
    </dataValidation>
    <dataValidation type="list" allowBlank="1" showErrorMessage="1" sqref="K3:K11">
      <formula1>"Haute,Moyenne,Faible"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33EA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5.0"/>
    <col customWidth="1" min="4" max="4" width="40.0"/>
    <col customWidth="1" min="5" max="5" width="35.0"/>
    <col customWidth="1" min="6" max="6" width="55.0"/>
    <col customWidth="1" min="7" max="7" width="30.0"/>
    <col customWidth="1" min="8" max="8" width="40.0"/>
    <col customWidth="1" min="9" max="9" width="30.0"/>
    <col customWidth="1" min="10" max="10" width="14.0"/>
    <col customWidth="1" min="11" max="11" width="12.0"/>
    <col customWidth="1" min="12" max="12" width="13.0"/>
    <col customWidth="1" min="13" max="13" width="25.0"/>
    <col customWidth="1" min="14" max="26" width="8.71"/>
  </cols>
  <sheetData>
    <row r="1" ht="30.0" customHeight="1">
      <c r="A1" s="9" t="s">
        <v>550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</row>
    <row r="3" ht="54.75" customHeight="1">
      <c r="A3" s="21" t="s">
        <v>551</v>
      </c>
      <c r="B3" s="22" t="s">
        <v>22</v>
      </c>
      <c r="C3" s="22" t="s">
        <v>552</v>
      </c>
      <c r="D3" s="22" t="s">
        <v>553</v>
      </c>
      <c r="E3" s="22" t="s">
        <v>253</v>
      </c>
      <c r="F3" s="22" t="s">
        <v>554</v>
      </c>
      <c r="G3" s="22" t="s">
        <v>116</v>
      </c>
      <c r="H3" s="22" t="s">
        <v>555</v>
      </c>
      <c r="I3" s="22"/>
      <c r="J3" s="15" t="s">
        <v>55</v>
      </c>
      <c r="K3" s="14" t="s">
        <v>56</v>
      </c>
      <c r="L3" s="15" t="s">
        <v>181</v>
      </c>
      <c r="M3" s="22"/>
    </row>
    <row r="4" ht="54.75" customHeight="1">
      <c r="A4" s="21" t="s">
        <v>556</v>
      </c>
      <c r="B4" s="22" t="s">
        <v>22</v>
      </c>
      <c r="C4" s="22" t="s">
        <v>557</v>
      </c>
      <c r="D4" s="22" t="s">
        <v>558</v>
      </c>
      <c r="E4" s="22" t="s">
        <v>253</v>
      </c>
      <c r="F4" s="22" t="s">
        <v>559</v>
      </c>
      <c r="G4" s="22" t="s">
        <v>560</v>
      </c>
      <c r="H4" s="22" t="s">
        <v>561</v>
      </c>
      <c r="I4" s="22"/>
      <c r="J4" s="15" t="s">
        <v>55</v>
      </c>
      <c r="K4" s="14" t="s">
        <v>56</v>
      </c>
      <c r="L4" s="15" t="s">
        <v>181</v>
      </c>
      <c r="M4" s="22"/>
    </row>
    <row r="5" ht="54.75" customHeight="1">
      <c r="A5" s="21" t="s">
        <v>562</v>
      </c>
      <c r="B5" s="22" t="s">
        <v>22</v>
      </c>
      <c r="C5" s="22" t="s">
        <v>563</v>
      </c>
      <c r="D5" s="22" t="s">
        <v>564</v>
      </c>
      <c r="E5" s="22" t="s">
        <v>565</v>
      </c>
      <c r="F5" s="22" t="s">
        <v>566</v>
      </c>
      <c r="G5" s="22" t="s">
        <v>481</v>
      </c>
      <c r="H5" s="22" t="s">
        <v>567</v>
      </c>
      <c r="I5" s="22"/>
      <c r="J5" s="15" t="s">
        <v>55</v>
      </c>
      <c r="K5" s="14" t="s">
        <v>56</v>
      </c>
      <c r="L5" s="15" t="s">
        <v>181</v>
      </c>
      <c r="M5" s="22"/>
    </row>
    <row r="6" ht="54.75" customHeight="1">
      <c r="A6" s="21" t="s">
        <v>568</v>
      </c>
      <c r="B6" s="22" t="s">
        <v>22</v>
      </c>
      <c r="C6" s="22" t="s">
        <v>569</v>
      </c>
      <c r="D6" s="22" t="s">
        <v>352</v>
      </c>
      <c r="E6" s="22" t="s">
        <v>253</v>
      </c>
      <c r="F6" s="22" t="s">
        <v>570</v>
      </c>
      <c r="G6" s="22" t="s">
        <v>354</v>
      </c>
      <c r="H6" s="22" t="s">
        <v>355</v>
      </c>
      <c r="I6" s="22"/>
      <c r="J6" s="15" t="s">
        <v>55</v>
      </c>
      <c r="K6" s="14" t="s">
        <v>56</v>
      </c>
      <c r="L6" s="15" t="s">
        <v>181</v>
      </c>
      <c r="M6" s="22"/>
    </row>
    <row r="7" ht="54.75" customHeight="1">
      <c r="A7" s="24" t="s">
        <v>571</v>
      </c>
      <c r="B7" s="25" t="s">
        <v>22</v>
      </c>
      <c r="C7" s="25" t="s">
        <v>572</v>
      </c>
      <c r="D7" s="25" t="s">
        <v>573</v>
      </c>
      <c r="E7" s="25" t="s">
        <v>574</v>
      </c>
      <c r="F7" s="25" t="s">
        <v>575</v>
      </c>
      <c r="G7" s="25" t="s">
        <v>576</v>
      </c>
      <c r="H7" s="25" t="s">
        <v>577</v>
      </c>
      <c r="I7" s="25"/>
      <c r="J7" s="15" t="s">
        <v>55</v>
      </c>
      <c r="K7" s="15" t="s">
        <v>101</v>
      </c>
      <c r="L7" s="15" t="s">
        <v>181</v>
      </c>
      <c r="M7" s="25"/>
    </row>
    <row r="8" ht="54.75" customHeight="1">
      <c r="A8" s="24" t="s">
        <v>578</v>
      </c>
      <c r="B8" s="25" t="s">
        <v>22</v>
      </c>
      <c r="C8" s="25" t="s">
        <v>579</v>
      </c>
      <c r="D8" s="25" t="s">
        <v>580</v>
      </c>
      <c r="E8" s="25" t="s">
        <v>253</v>
      </c>
      <c r="F8" s="25" t="s">
        <v>581</v>
      </c>
      <c r="G8" s="25" t="s">
        <v>582</v>
      </c>
      <c r="H8" s="25" t="s">
        <v>583</v>
      </c>
      <c r="I8" s="25"/>
      <c r="J8" s="15" t="s">
        <v>55</v>
      </c>
      <c r="K8" s="15" t="s">
        <v>101</v>
      </c>
      <c r="L8" s="15" t="s">
        <v>181</v>
      </c>
      <c r="M8" s="25"/>
    </row>
    <row r="9" ht="54.75" customHeight="1">
      <c r="A9" s="21" t="s">
        <v>584</v>
      </c>
      <c r="B9" s="22" t="s">
        <v>22</v>
      </c>
      <c r="C9" s="22" t="s">
        <v>585</v>
      </c>
      <c r="D9" s="22" t="s">
        <v>586</v>
      </c>
      <c r="E9" s="22" t="s">
        <v>587</v>
      </c>
      <c r="F9" s="22" t="s">
        <v>588</v>
      </c>
      <c r="G9" s="22" t="s">
        <v>589</v>
      </c>
      <c r="H9" s="22" t="s">
        <v>590</v>
      </c>
      <c r="I9" s="22"/>
      <c r="J9" s="15" t="s">
        <v>55</v>
      </c>
      <c r="K9" s="14" t="s">
        <v>56</v>
      </c>
      <c r="L9" s="15" t="s">
        <v>181</v>
      </c>
      <c r="M9" s="22"/>
    </row>
    <row r="10" ht="54.75" customHeight="1">
      <c r="A10" s="24" t="s">
        <v>591</v>
      </c>
      <c r="B10" s="25" t="s">
        <v>22</v>
      </c>
      <c r="C10" s="25" t="s">
        <v>592</v>
      </c>
      <c r="D10" s="25" t="s">
        <v>593</v>
      </c>
      <c r="E10" s="25" t="s">
        <v>253</v>
      </c>
      <c r="F10" s="25" t="s">
        <v>594</v>
      </c>
      <c r="G10" s="25" t="s">
        <v>595</v>
      </c>
      <c r="H10" s="25" t="s">
        <v>596</v>
      </c>
      <c r="I10" s="25"/>
      <c r="J10" s="15" t="s">
        <v>55</v>
      </c>
      <c r="K10" s="15" t="s">
        <v>101</v>
      </c>
      <c r="L10" s="15" t="s">
        <v>181</v>
      </c>
      <c r="M10" s="25"/>
    </row>
    <row r="11" ht="54.75" customHeight="1">
      <c r="A11" s="21" t="s">
        <v>597</v>
      </c>
      <c r="B11" s="22" t="s">
        <v>22</v>
      </c>
      <c r="C11" s="22" t="s">
        <v>598</v>
      </c>
      <c r="D11" s="22" t="s">
        <v>599</v>
      </c>
      <c r="E11" s="22" t="s">
        <v>269</v>
      </c>
      <c r="F11" s="22" t="s">
        <v>600</v>
      </c>
      <c r="G11" s="22" t="s">
        <v>601</v>
      </c>
      <c r="H11" s="22" t="s">
        <v>602</v>
      </c>
      <c r="I11" s="22"/>
      <c r="J11" s="15" t="s">
        <v>55</v>
      </c>
      <c r="K11" s="14" t="s">
        <v>56</v>
      </c>
      <c r="L11" s="15" t="s">
        <v>181</v>
      </c>
      <c r="M11" s="22"/>
    </row>
    <row r="12" ht="54.75" customHeight="1">
      <c r="A12" s="24" t="s">
        <v>603</v>
      </c>
      <c r="B12" s="25" t="s">
        <v>22</v>
      </c>
      <c r="C12" s="25" t="s">
        <v>604</v>
      </c>
      <c r="D12" s="25" t="s">
        <v>605</v>
      </c>
      <c r="E12" s="25" t="s">
        <v>606</v>
      </c>
      <c r="F12" s="25" t="s">
        <v>607</v>
      </c>
      <c r="G12" s="25" t="s">
        <v>116</v>
      </c>
      <c r="H12" s="25" t="s">
        <v>608</v>
      </c>
      <c r="I12" s="25"/>
      <c r="J12" s="15" t="s">
        <v>55</v>
      </c>
      <c r="K12" s="15" t="s">
        <v>101</v>
      </c>
      <c r="L12" s="15" t="s">
        <v>181</v>
      </c>
      <c r="M12" s="25"/>
    </row>
    <row r="13" ht="54.75" customHeight="1">
      <c r="A13" s="21" t="s">
        <v>609</v>
      </c>
      <c r="B13" s="22" t="s">
        <v>22</v>
      </c>
      <c r="C13" s="22" t="s">
        <v>610</v>
      </c>
      <c r="D13" s="22" t="s">
        <v>611</v>
      </c>
      <c r="E13" s="22" t="s">
        <v>253</v>
      </c>
      <c r="F13" s="22" t="s">
        <v>612</v>
      </c>
      <c r="G13" s="22" t="s">
        <v>116</v>
      </c>
      <c r="H13" s="22" t="s">
        <v>613</v>
      </c>
      <c r="I13" s="22"/>
      <c r="J13" s="15" t="s">
        <v>55</v>
      </c>
      <c r="K13" s="14" t="s">
        <v>56</v>
      </c>
      <c r="L13" s="15" t="s">
        <v>181</v>
      </c>
      <c r="M13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dataValidations>
    <dataValidation type="list" allowBlank="1" showErrorMessage="1" sqref="J3:J13">
      <formula1>"À tester,Échoué,Validé"</formula1>
    </dataValidation>
    <dataValidation type="list" allowBlank="1" showErrorMessage="1" sqref="L3:L13">
      <formula1>"PUBLIC,USER,ADMIN"</formula1>
    </dataValidation>
    <dataValidation type="list" allowBlank="1" showErrorMessage="1" sqref="K3:K13">
      <formula1>"Haute,Moyenne,Faible"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2777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5.0"/>
    <col customWidth="1" min="4" max="4" width="40.0"/>
    <col customWidth="1" min="5" max="5" width="35.0"/>
    <col customWidth="1" min="6" max="6" width="55.0"/>
    <col customWidth="1" min="7" max="7" width="30.0"/>
    <col customWidth="1" min="8" max="8" width="40.0"/>
    <col customWidth="1" min="9" max="9" width="30.0"/>
    <col customWidth="1" min="10" max="10" width="14.0"/>
    <col customWidth="1" min="11" max="11" width="12.0"/>
    <col customWidth="1" min="12" max="12" width="13.0"/>
    <col customWidth="1" min="13" max="13" width="25.0"/>
    <col customWidth="1" min="14" max="26" width="8.71"/>
  </cols>
  <sheetData>
    <row r="1" ht="30.0" customHeight="1">
      <c r="A1" s="9" t="s">
        <v>614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</row>
    <row r="3" ht="54.75" customHeight="1">
      <c r="A3" s="21" t="s">
        <v>615</v>
      </c>
      <c r="B3" s="22" t="s">
        <v>24</v>
      </c>
      <c r="C3" s="22" t="s">
        <v>616</v>
      </c>
      <c r="D3" s="22" t="s">
        <v>617</v>
      </c>
      <c r="E3" s="22" t="s">
        <v>253</v>
      </c>
      <c r="F3" s="22" t="s">
        <v>618</v>
      </c>
      <c r="G3" s="22" t="s">
        <v>116</v>
      </c>
      <c r="H3" s="22" t="s">
        <v>619</v>
      </c>
      <c r="I3" s="22"/>
      <c r="J3" s="15" t="s">
        <v>55</v>
      </c>
      <c r="K3" s="14" t="s">
        <v>56</v>
      </c>
      <c r="L3" s="15" t="s">
        <v>181</v>
      </c>
      <c r="M3" s="22"/>
    </row>
    <row r="4" ht="54.75" customHeight="1">
      <c r="A4" s="21" t="s">
        <v>620</v>
      </c>
      <c r="B4" s="22" t="s">
        <v>24</v>
      </c>
      <c r="C4" s="22" t="s">
        <v>621</v>
      </c>
      <c r="D4" s="22" t="s">
        <v>622</v>
      </c>
      <c r="E4" s="22" t="s">
        <v>623</v>
      </c>
      <c r="F4" s="22" t="s">
        <v>624</v>
      </c>
      <c r="G4" s="22" t="s">
        <v>625</v>
      </c>
      <c r="H4" s="22" t="s">
        <v>626</v>
      </c>
      <c r="I4" s="22"/>
      <c r="J4" s="15" t="s">
        <v>55</v>
      </c>
      <c r="K4" s="14" t="s">
        <v>56</v>
      </c>
      <c r="L4" s="15" t="s">
        <v>181</v>
      </c>
      <c r="M4" s="22"/>
    </row>
    <row r="5" ht="54.75" customHeight="1">
      <c r="A5" s="21" t="s">
        <v>627</v>
      </c>
      <c r="B5" s="22" t="s">
        <v>24</v>
      </c>
      <c r="C5" s="22" t="s">
        <v>628</v>
      </c>
      <c r="D5" s="22" t="s">
        <v>629</v>
      </c>
      <c r="E5" s="22" t="s">
        <v>630</v>
      </c>
      <c r="F5" s="22" t="s">
        <v>631</v>
      </c>
      <c r="G5" s="22" t="s">
        <v>632</v>
      </c>
      <c r="H5" s="22" t="s">
        <v>633</v>
      </c>
      <c r="I5" s="22"/>
      <c r="J5" s="15" t="s">
        <v>55</v>
      </c>
      <c r="K5" s="14" t="s">
        <v>56</v>
      </c>
      <c r="L5" s="15" t="s">
        <v>181</v>
      </c>
      <c r="M5" s="22"/>
    </row>
    <row r="6" ht="54.75" customHeight="1">
      <c r="A6" s="21" t="s">
        <v>634</v>
      </c>
      <c r="B6" s="22" t="s">
        <v>24</v>
      </c>
      <c r="C6" s="22" t="s">
        <v>635</v>
      </c>
      <c r="D6" s="22" t="s">
        <v>636</v>
      </c>
      <c r="E6" s="22" t="s">
        <v>253</v>
      </c>
      <c r="F6" s="22" t="s">
        <v>637</v>
      </c>
      <c r="G6" s="22" t="s">
        <v>116</v>
      </c>
      <c r="H6" s="22" t="s">
        <v>638</v>
      </c>
      <c r="I6" s="22"/>
      <c r="J6" s="15" t="s">
        <v>55</v>
      </c>
      <c r="K6" s="14" t="s">
        <v>56</v>
      </c>
      <c r="L6" s="15" t="s">
        <v>181</v>
      </c>
      <c r="M6" s="22"/>
    </row>
    <row r="7" ht="54.75" customHeight="1">
      <c r="A7" s="24" t="s">
        <v>639</v>
      </c>
      <c r="B7" s="25" t="s">
        <v>24</v>
      </c>
      <c r="C7" s="25" t="s">
        <v>640</v>
      </c>
      <c r="D7" s="25" t="s">
        <v>641</v>
      </c>
      <c r="E7" s="25" t="s">
        <v>642</v>
      </c>
      <c r="F7" s="25" t="s">
        <v>643</v>
      </c>
      <c r="G7" s="25" t="s">
        <v>644</v>
      </c>
      <c r="H7" s="25" t="s">
        <v>645</v>
      </c>
      <c r="I7" s="25"/>
      <c r="J7" s="15" t="s">
        <v>55</v>
      </c>
      <c r="K7" s="15" t="s">
        <v>101</v>
      </c>
      <c r="L7" s="14" t="s">
        <v>119</v>
      </c>
      <c r="M7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dataValidations>
    <dataValidation type="list" allowBlank="1" showErrorMessage="1" sqref="J3:J7">
      <formula1>"À tester,Échoué,Validé"</formula1>
    </dataValidation>
    <dataValidation type="list" allowBlank="1" showErrorMessage="1" sqref="L3:L7">
      <formula1>"PUBLIC,USER,ADMIN"</formula1>
    </dataValidation>
    <dataValidation type="list" allowBlank="1" showErrorMessage="1" sqref="K3:K7">
      <formula1>"Haute,Moyenne,Faible"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5.0"/>
    <col customWidth="1" min="4" max="4" width="40.0"/>
    <col customWidth="1" min="5" max="5" width="35.0"/>
    <col customWidth="1" min="6" max="6" width="55.0"/>
    <col customWidth="1" min="7" max="7" width="30.0"/>
    <col customWidth="1" min="8" max="8" width="40.0"/>
    <col customWidth="1" min="9" max="9" width="30.0"/>
    <col customWidth="1" min="10" max="10" width="14.0"/>
    <col customWidth="1" min="11" max="11" width="12.0"/>
    <col customWidth="1" min="12" max="12" width="13.0"/>
    <col customWidth="1" min="13" max="13" width="25.0"/>
    <col customWidth="1" min="14" max="26" width="8.71"/>
  </cols>
  <sheetData>
    <row r="1" ht="30.0" customHeight="1">
      <c r="A1" s="9" t="s">
        <v>646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</row>
    <row r="3" ht="54.75" customHeight="1">
      <c r="A3" s="21" t="s">
        <v>647</v>
      </c>
      <c r="B3" s="22" t="s">
        <v>26</v>
      </c>
      <c r="C3" s="22" t="s">
        <v>648</v>
      </c>
      <c r="D3" s="22" t="s">
        <v>649</v>
      </c>
      <c r="E3" s="22" t="s">
        <v>253</v>
      </c>
      <c r="F3" s="22" t="s">
        <v>650</v>
      </c>
      <c r="G3" s="22" t="s">
        <v>116</v>
      </c>
      <c r="H3" s="22" t="s">
        <v>651</v>
      </c>
      <c r="I3" s="22"/>
      <c r="J3" s="15" t="s">
        <v>55</v>
      </c>
      <c r="K3" s="14" t="s">
        <v>56</v>
      </c>
      <c r="L3" s="15" t="s">
        <v>181</v>
      </c>
      <c r="M3" s="22"/>
    </row>
    <row r="4" ht="54.75" customHeight="1">
      <c r="A4" s="21" t="s">
        <v>652</v>
      </c>
      <c r="B4" s="22" t="s">
        <v>26</v>
      </c>
      <c r="C4" s="22" t="s">
        <v>653</v>
      </c>
      <c r="D4" s="22" t="s">
        <v>654</v>
      </c>
      <c r="E4" s="22" t="s">
        <v>253</v>
      </c>
      <c r="F4" s="22" t="s">
        <v>655</v>
      </c>
      <c r="G4" s="22" t="s">
        <v>656</v>
      </c>
      <c r="H4" s="22" t="s">
        <v>657</v>
      </c>
      <c r="I4" s="22"/>
      <c r="J4" s="15" t="s">
        <v>55</v>
      </c>
      <c r="K4" s="14" t="s">
        <v>56</v>
      </c>
      <c r="L4" s="15" t="s">
        <v>181</v>
      </c>
      <c r="M4" s="22"/>
    </row>
    <row r="5" ht="54.75" customHeight="1">
      <c r="A5" s="21" t="s">
        <v>658</v>
      </c>
      <c r="B5" s="22" t="s">
        <v>26</v>
      </c>
      <c r="C5" s="22" t="s">
        <v>659</v>
      </c>
      <c r="D5" s="22" t="s">
        <v>660</v>
      </c>
      <c r="E5" s="22" t="s">
        <v>253</v>
      </c>
      <c r="F5" s="22" t="s">
        <v>661</v>
      </c>
      <c r="G5" s="22" t="s">
        <v>481</v>
      </c>
      <c r="H5" s="22" t="s">
        <v>567</v>
      </c>
      <c r="I5" s="22"/>
      <c r="J5" s="15" t="s">
        <v>55</v>
      </c>
      <c r="K5" s="14" t="s">
        <v>56</v>
      </c>
      <c r="L5" s="15" t="s">
        <v>181</v>
      </c>
      <c r="M5" s="22"/>
    </row>
    <row r="6" ht="54.75" customHeight="1">
      <c r="A6" s="24" t="s">
        <v>662</v>
      </c>
      <c r="B6" s="25" t="s">
        <v>26</v>
      </c>
      <c r="C6" s="25" t="s">
        <v>663</v>
      </c>
      <c r="D6" s="25" t="s">
        <v>664</v>
      </c>
      <c r="E6" s="25" t="s">
        <v>665</v>
      </c>
      <c r="F6" s="25" t="s">
        <v>666</v>
      </c>
      <c r="G6" s="25" t="s">
        <v>667</v>
      </c>
      <c r="H6" s="25" t="s">
        <v>668</v>
      </c>
      <c r="I6" s="25"/>
      <c r="J6" s="15" t="s">
        <v>55</v>
      </c>
      <c r="K6" s="15" t="s">
        <v>101</v>
      </c>
      <c r="L6" s="15" t="s">
        <v>181</v>
      </c>
      <c r="M6" s="25"/>
    </row>
    <row r="7" ht="54.75" customHeight="1">
      <c r="A7" s="21" t="s">
        <v>669</v>
      </c>
      <c r="B7" s="22" t="s">
        <v>26</v>
      </c>
      <c r="C7" s="22" t="s">
        <v>670</v>
      </c>
      <c r="D7" s="22" t="s">
        <v>671</v>
      </c>
      <c r="E7" s="22" t="s">
        <v>672</v>
      </c>
      <c r="F7" s="22" t="s">
        <v>673</v>
      </c>
      <c r="G7" s="22" t="s">
        <v>674</v>
      </c>
      <c r="H7" s="22" t="s">
        <v>675</v>
      </c>
      <c r="I7" s="22"/>
      <c r="J7" s="15" t="s">
        <v>55</v>
      </c>
      <c r="K7" s="14" t="s">
        <v>56</v>
      </c>
      <c r="L7" s="15" t="s">
        <v>181</v>
      </c>
      <c r="M7" s="22"/>
    </row>
    <row r="8" ht="54.75" customHeight="1">
      <c r="A8" s="21" t="s">
        <v>676</v>
      </c>
      <c r="B8" s="22" t="s">
        <v>26</v>
      </c>
      <c r="C8" s="22" t="s">
        <v>677</v>
      </c>
      <c r="D8" s="22" t="s">
        <v>678</v>
      </c>
      <c r="E8" s="22" t="s">
        <v>253</v>
      </c>
      <c r="F8" s="22" t="s">
        <v>679</v>
      </c>
      <c r="G8" s="22" t="s">
        <v>116</v>
      </c>
      <c r="H8" s="22" t="s">
        <v>680</v>
      </c>
      <c r="I8" s="22"/>
      <c r="J8" s="15" t="s">
        <v>55</v>
      </c>
      <c r="K8" s="14" t="s">
        <v>56</v>
      </c>
      <c r="L8" s="15" t="s">
        <v>181</v>
      </c>
      <c r="M8" s="22"/>
    </row>
    <row r="9" ht="54.75" customHeight="1">
      <c r="A9" s="26" t="s">
        <v>681</v>
      </c>
      <c r="B9" s="27" t="s">
        <v>682</v>
      </c>
      <c r="C9" s="27" t="s">
        <v>683</v>
      </c>
      <c r="D9" s="27" t="s">
        <v>684</v>
      </c>
      <c r="E9" s="27" t="s">
        <v>196</v>
      </c>
      <c r="F9" s="27" t="s">
        <v>685</v>
      </c>
      <c r="G9" s="27" t="s">
        <v>686</v>
      </c>
      <c r="H9" s="27" t="s">
        <v>687</v>
      </c>
      <c r="I9" s="27"/>
      <c r="J9" s="15" t="s">
        <v>55</v>
      </c>
      <c r="K9" s="15" t="s">
        <v>204</v>
      </c>
      <c r="L9" s="14" t="s">
        <v>119</v>
      </c>
      <c r="M9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dataValidations>
    <dataValidation type="list" allowBlank="1" showErrorMessage="1" sqref="J3:J9">
      <formula1>"À tester,Échoué,Validé"</formula1>
    </dataValidation>
    <dataValidation type="list" allowBlank="1" showErrorMessage="1" sqref="L3:L9">
      <formula1>"PUBLIC,USER,ADMIN"</formula1>
    </dataValidation>
    <dataValidation type="list" allowBlank="1" showErrorMessage="1" sqref="K3:K9">
      <formula1>"Haute,Moyenne,Faible"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5569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5.0"/>
    <col customWidth="1" min="4" max="4" width="40.0"/>
    <col customWidth="1" min="5" max="5" width="35.0"/>
    <col customWidth="1" min="6" max="6" width="55.0"/>
    <col customWidth="1" min="7" max="7" width="30.0"/>
    <col customWidth="1" min="8" max="8" width="40.0"/>
    <col customWidth="1" min="9" max="9" width="30.0"/>
    <col customWidth="1" min="10" max="10" width="14.0"/>
    <col customWidth="1" min="11" max="11" width="12.0"/>
    <col customWidth="1" min="12" max="12" width="13.0"/>
    <col customWidth="1" min="13" max="13" width="25.0"/>
    <col customWidth="1" min="14" max="26" width="8.71"/>
  </cols>
  <sheetData>
    <row r="1" ht="30.0" customHeight="1">
      <c r="A1" s="9" t="s">
        <v>688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</row>
    <row r="3" ht="54.75" customHeight="1">
      <c r="A3" s="21" t="s">
        <v>689</v>
      </c>
      <c r="B3" s="22" t="s">
        <v>28</v>
      </c>
      <c r="C3" s="22" t="s">
        <v>690</v>
      </c>
      <c r="D3" s="22" t="s">
        <v>691</v>
      </c>
      <c r="E3" s="22" t="s">
        <v>196</v>
      </c>
      <c r="F3" s="22" t="s">
        <v>692</v>
      </c>
      <c r="G3" s="22" t="s">
        <v>116</v>
      </c>
      <c r="H3" s="22" t="s">
        <v>693</v>
      </c>
      <c r="I3" s="22"/>
      <c r="J3" s="15" t="s">
        <v>55</v>
      </c>
      <c r="K3" s="14" t="s">
        <v>56</v>
      </c>
      <c r="L3" s="14" t="s">
        <v>119</v>
      </c>
      <c r="M3" s="22"/>
    </row>
    <row r="4" ht="54.75" customHeight="1">
      <c r="A4" s="21" t="s">
        <v>694</v>
      </c>
      <c r="B4" s="22" t="s">
        <v>28</v>
      </c>
      <c r="C4" s="22" t="s">
        <v>695</v>
      </c>
      <c r="D4" s="22" t="s">
        <v>696</v>
      </c>
      <c r="E4" s="22" t="s">
        <v>697</v>
      </c>
      <c r="F4" s="22" t="s">
        <v>698</v>
      </c>
      <c r="G4" s="22" t="s">
        <v>116</v>
      </c>
      <c r="H4" s="22" t="s">
        <v>699</v>
      </c>
      <c r="I4" s="22"/>
      <c r="J4" s="15" t="s">
        <v>55</v>
      </c>
      <c r="K4" s="14" t="s">
        <v>56</v>
      </c>
      <c r="L4" s="14" t="s">
        <v>119</v>
      </c>
      <c r="M4" s="22"/>
    </row>
    <row r="5" ht="54.75" customHeight="1">
      <c r="A5" s="21" t="s">
        <v>700</v>
      </c>
      <c r="B5" s="22" t="s">
        <v>28</v>
      </c>
      <c r="C5" s="22" t="s">
        <v>701</v>
      </c>
      <c r="D5" s="22" t="s">
        <v>702</v>
      </c>
      <c r="E5" s="22" t="s">
        <v>703</v>
      </c>
      <c r="F5" s="22" t="s">
        <v>698</v>
      </c>
      <c r="G5" s="22" t="s">
        <v>116</v>
      </c>
      <c r="H5" s="22" t="s">
        <v>704</v>
      </c>
      <c r="I5" s="22"/>
      <c r="J5" s="15" t="s">
        <v>55</v>
      </c>
      <c r="K5" s="14" t="s">
        <v>56</v>
      </c>
      <c r="L5" s="15" t="s">
        <v>181</v>
      </c>
      <c r="M5" s="22"/>
    </row>
    <row r="6" ht="54.75" customHeight="1">
      <c r="A6" s="21" t="s">
        <v>705</v>
      </c>
      <c r="B6" s="22" t="s">
        <v>28</v>
      </c>
      <c r="C6" s="22" t="s">
        <v>706</v>
      </c>
      <c r="D6" s="22" t="s">
        <v>707</v>
      </c>
      <c r="E6" s="22" t="s">
        <v>259</v>
      </c>
      <c r="F6" s="22" t="s">
        <v>698</v>
      </c>
      <c r="G6" s="22" t="s">
        <v>116</v>
      </c>
      <c r="H6" s="22" t="s">
        <v>708</v>
      </c>
      <c r="I6" s="22"/>
      <c r="J6" s="15" t="s">
        <v>55</v>
      </c>
      <c r="K6" s="14" t="s">
        <v>56</v>
      </c>
      <c r="L6" s="15" t="s">
        <v>181</v>
      </c>
      <c r="M6" s="22"/>
    </row>
    <row r="7" ht="54.75" customHeight="1">
      <c r="A7" s="24" t="s">
        <v>709</v>
      </c>
      <c r="B7" s="25" t="s">
        <v>28</v>
      </c>
      <c r="C7" s="25" t="s">
        <v>710</v>
      </c>
      <c r="D7" s="25" t="s">
        <v>711</v>
      </c>
      <c r="E7" s="25" t="s">
        <v>196</v>
      </c>
      <c r="F7" s="25" t="s">
        <v>712</v>
      </c>
      <c r="G7" s="25" t="s">
        <v>116</v>
      </c>
      <c r="H7" s="25" t="s">
        <v>713</v>
      </c>
      <c r="I7" s="25"/>
      <c r="J7" s="15" t="s">
        <v>55</v>
      </c>
      <c r="K7" s="15" t="s">
        <v>101</v>
      </c>
      <c r="L7" s="14" t="s">
        <v>119</v>
      </c>
      <c r="M7" s="25"/>
    </row>
    <row r="8" ht="54.75" customHeight="1">
      <c r="A8" s="24" t="s">
        <v>714</v>
      </c>
      <c r="B8" s="25" t="s">
        <v>28</v>
      </c>
      <c r="C8" s="25" t="s">
        <v>715</v>
      </c>
      <c r="D8" s="25" t="s">
        <v>716</v>
      </c>
      <c r="E8" s="25" t="s">
        <v>717</v>
      </c>
      <c r="F8" s="25" t="s">
        <v>718</v>
      </c>
      <c r="G8" s="25" t="s">
        <v>116</v>
      </c>
      <c r="H8" s="25" t="s">
        <v>719</v>
      </c>
      <c r="I8" s="25"/>
      <c r="J8" s="15" t="s">
        <v>55</v>
      </c>
      <c r="K8" s="15" t="s">
        <v>101</v>
      </c>
      <c r="L8" s="14" t="s">
        <v>119</v>
      </c>
      <c r="M8" s="25"/>
    </row>
    <row r="9" ht="54.75" customHeight="1">
      <c r="A9" s="26" t="s">
        <v>720</v>
      </c>
      <c r="B9" s="27" t="s">
        <v>28</v>
      </c>
      <c r="C9" s="27" t="s">
        <v>721</v>
      </c>
      <c r="D9" s="27" t="s">
        <v>722</v>
      </c>
      <c r="E9" s="27" t="s">
        <v>196</v>
      </c>
      <c r="F9" s="27" t="s">
        <v>723</v>
      </c>
      <c r="G9" s="27" t="s">
        <v>724</v>
      </c>
      <c r="H9" s="27" t="s">
        <v>725</v>
      </c>
      <c r="I9" s="27"/>
      <c r="J9" s="15" t="s">
        <v>55</v>
      </c>
      <c r="K9" s="15" t="s">
        <v>204</v>
      </c>
      <c r="L9" s="14" t="s">
        <v>119</v>
      </c>
      <c r="M9" s="27"/>
    </row>
    <row r="10" ht="54.75" customHeight="1">
      <c r="A10" s="26" t="s">
        <v>726</v>
      </c>
      <c r="B10" s="27" t="s">
        <v>28</v>
      </c>
      <c r="C10" s="27" t="s">
        <v>727</v>
      </c>
      <c r="D10" s="27" t="s">
        <v>728</v>
      </c>
      <c r="E10" s="27" t="s">
        <v>196</v>
      </c>
      <c r="F10" s="27" t="s">
        <v>729</v>
      </c>
      <c r="G10" s="27" t="s">
        <v>116</v>
      </c>
      <c r="H10" s="27" t="s">
        <v>730</v>
      </c>
      <c r="I10" s="27"/>
      <c r="J10" s="15" t="s">
        <v>55</v>
      </c>
      <c r="K10" s="15" t="s">
        <v>204</v>
      </c>
      <c r="L10" s="14" t="s">
        <v>119</v>
      </c>
      <c r="M10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dataValidations>
    <dataValidation type="list" allowBlank="1" showErrorMessage="1" sqref="J3:J10">
      <formula1>"À tester,Échoué,Validé"</formula1>
    </dataValidation>
    <dataValidation type="list" allowBlank="1" showErrorMessage="1" sqref="L3:L10">
      <formula1>"PUBLIC,USER,ADMIN"</formula1>
    </dataValidation>
    <dataValidation type="list" allowBlank="1" showErrorMessage="1" sqref="K3:K10">
      <formula1>"Haute,Moyenne,Faible"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309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35.0"/>
    <col customWidth="1" min="4" max="4" width="40.0"/>
    <col customWidth="1" min="5" max="5" width="35.0"/>
    <col customWidth="1" min="6" max="6" width="55.0"/>
    <col customWidth="1" min="7" max="7" width="30.0"/>
    <col customWidth="1" min="8" max="8" width="40.0"/>
    <col customWidth="1" min="9" max="9" width="30.0"/>
    <col customWidth="1" min="10" max="10" width="14.0"/>
    <col customWidth="1" min="11" max="11" width="12.0"/>
    <col customWidth="1" min="12" max="12" width="13.0"/>
    <col customWidth="1" min="13" max="13" width="25.0"/>
    <col customWidth="1" min="14" max="26" width="8.71"/>
  </cols>
  <sheetData>
    <row r="1" ht="30.0" customHeight="1">
      <c r="A1" s="9" t="s">
        <v>731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9.5" customHeight="1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</row>
    <row r="3" ht="54.75" customHeight="1">
      <c r="A3" s="21" t="s">
        <v>732</v>
      </c>
      <c r="B3" s="22" t="s">
        <v>733</v>
      </c>
      <c r="C3" s="22" t="s">
        <v>734</v>
      </c>
      <c r="D3" s="22" t="s">
        <v>735</v>
      </c>
      <c r="E3" s="22" t="s">
        <v>736</v>
      </c>
      <c r="F3" s="22" t="s">
        <v>737</v>
      </c>
      <c r="G3" s="22" t="s">
        <v>116</v>
      </c>
      <c r="H3" s="22" t="s">
        <v>738</v>
      </c>
      <c r="I3" s="22"/>
      <c r="J3" s="15" t="s">
        <v>55</v>
      </c>
      <c r="K3" s="23" t="s">
        <v>56</v>
      </c>
      <c r="L3" s="14" t="s">
        <v>119</v>
      </c>
      <c r="M3" s="22"/>
    </row>
    <row r="4" ht="54.75" customHeight="1">
      <c r="A4" s="24" t="s">
        <v>739</v>
      </c>
      <c r="B4" s="25" t="s">
        <v>733</v>
      </c>
      <c r="C4" s="25" t="s">
        <v>740</v>
      </c>
      <c r="D4" s="25" t="s">
        <v>741</v>
      </c>
      <c r="E4" s="25" t="s">
        <v>196</v>
      </c>
      <c r="F4" s="25" t="s">
        <v>742</v>
      </c>
      <c r="G4" s="25" t="s">
        <v>743</v>
      </c>
      <c r="H4" s="25" t="s">
        <v>744</v>
      </c>
      <c r="I4" s="25"/>
      <c r="J4" s="15" t="s">
        <v>55</v>
      </c>
      <c r="K4" s="15" t="s">
        <v>101</v>
      </c>
      <c r="L4" s="14" t="s">
        <v>119</v>
      </c>
      <c r="M4" s="25"/>
    </row>
    <row r="5" ht="54.75" customHeight="1">
      <c r="A5" s="24" t="s">
        <v>745</v>
      </c>
      <c r="B5" s="25" t="s">
        <v>733</v>
      </c>
      <c r="C5" s="25" t="s">
        <v>746</v>
      </c>
      <c r="D5" s="25" t="s">
        <v>747</v>
      </c>
      <c r="E5" s="25" t="s">
        <v>196</v>
      </c>
      <c r="F5" s="25" t="s">
        <v>748</v>
      </c>
      <c r="G5" s="25" t="s">
        <v>743</v>
      </c>
      <c r="H5" s="25" t="s">
        <v>749</v>
      </c>
      <c r="I5" s="25"/>
      <c r="J5" s="15" t="s">
        <v>55</v>
      </c>
      <c r="K5" s="15" t="s">
        <v>101</v>
      </c>
      <c r="L5" s="14" t="s">
        <v>119</v>
      </c>
      <c r="M5" s="25"/>
    </row>
    <row r="6" ht="54.75" customHeight="1">
      <c r="A6" s="26" t="s">
        <v>750</v>
      </c>
      <c r="B6" s="27" t="s">
        <v>733</v>
      </c>
      <c r="C6" s="27" t="s">
        <v>751</v>
      </c>
      <c r="D6" s="27" t="s">
        <v>752</v>
      </c>
      <c r="E6" s="27" t="s">
        <v>753</v>
      </c>
      <c r="F6" s="27" t="s">
        <v>754</v>
      </c>
      <c r="G6" s="27" t="s">
        <v>116</v>
      </c>
      <c r="H6" s="27" t="s">
        <v>755</v>
      </c>
      <c r="I6" s="27"/>
      <c r="J6" s="15" t="s">
        <v>55</v>
      </c>
      <c r="K6" s="15" t="s">
        <v>204</v>
      </c>
      <c r="L6" s="14" t="s">
        <v>119</v>
      </c>
      <c r="M6" s="27"/>
    </row>
    <row r="7" ht="54.75" customHeight="1">
      <c r="A7" s="24" t="s">
        <v>756</v>
      </c>
      <c r="B7" s="25" t="s">
        <v>733</v>
      </c>
      <c r="C7" s="25" t="s">
        <v>757</v>
      </c>
      <c r="D7" s="25" t="s">
        <v>758</v>
      </c>
      <c r="E7" s="25" t="s">
        <v>759</v>
      </c>
      <c r="F7" s="25" t="s">
        <v>760</v>
      </c>
      <c r="G7" s="25" t="s">
        <v>116</v>
      </c>
      <c r="H7" s="25" t="s">
        <v>761</v>
      </c>
      <c r="I7" s="25"/>
      <c r="J7" s="15" t="s">
        <v>55</v>
      </c>
      <c r="K7" s="15" t="s">
        <v>101</v>
      </c>
      <c r="L7" s="14" t="s">
        <v>119</v>
      </c>
      <c r="M7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dataValidations>
    <dataValidation type="list" allowBlank="1" showErrorMessage="1" sqref="J3:J7">
      <formula1>"À tester,Échoué,Validé"</formula1>
    </dataValidation>
    <dataValidation type="list" allowBlank="1" showErrorMessage="1" sqref="L3:L7">
      <formula1>"PUBLIC,USER,ADMIN"</formula1>
    </dataValidation>
    <dataValidation type="list" allowBlank="1" showErrorMessage="1" sqref="K4:K7">
      <formula1>"Haute,Moyenne,Faible"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2026-04-20T06:38:24Z</dcterms:created>
  <dc:creator>openpyxl</dc:creator>
</cp:coreProperties>
</file>